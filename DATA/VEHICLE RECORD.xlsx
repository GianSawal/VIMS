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0" sheetId="1" r:id="rId5"/>
    <sheet state="visible" name="RO3" sheetId="2" r:id="rId6"/>
    <sheet state="visible" name="SCB 1747" sheetId="3" r:id="rId7"/>
    <sheet state="visible" name="SCC1115" sheetId="4" r:id="rId8"/>
    <sheet state="visible" name="SCA 8117" sheetId="5" r:id="rId9"/>
    <sheet state="visible" name="SCB 1750" sheetId="6" r:id="rId10"/>
    <sheet state="visible" name="SCD 1745" sheetId="7" r:id="rId11"/>
    <sheet state="visible" name="SCB 1749" sheetId="8" r:id="rId12"/>
    <sheet state="visible" name="SCB 1748" sheetId="9" r:id="rId13"/>
    <sheet state="visible" name="SCD 2643" sheetId="10" r:id="rId14"/>
    <sheet state="visible" name="SCB 1746" sheetId="11" r:id="rId15"/>
    <sheet state="visible" name="SCB 1751" sheetId="12" r:id="rId16"/>
    <sheet state="visible" name="SCA 1174" sheetId="13" r:id="rId17"/>
    <sheet state="visible" name="SJJ 476" sheetId="14" r:id="rId18"/>
    <sheet state="visible" name="SKY 715" sheetId="15" r:id="rId19"/>
    <sheet state="visible" name="SKY 725" sheetId="16" r:id="rId20"/>
    <sheet state="visible" name="SAA 3316" sheetId="17" r:id="rId21"/>
    <sheet state="visible" name="SJX 679" sheetId="18" r:id="rId22"/>
    <sheet state="visible" name="SJB 467" sheetId="19" r:id="rId23"/>
    <sheet state="visible" name="SHY 948" sheetId="20" r:id="rId24"/>
  </sheets>
  <definedNames/>
  <calcPr/>
</workbook>
</file>

<file path=xl/sharedStrings.xml><?xml version="1.0" encoding="utf-8"?>
<sst xmlns="http://schemas.openxmlformats.org/spreadsheetml/2006/main" count="3449" uniqueCount="1070">
  <si>
    <t>RED PLATE FUEL PURCHASE ORDER LOG</t>
  </si>
  <si>
    <t>MAINTENANCE RECORD</t>
  </si>
  <si>
    <t>ENGINE</t>
  </si>
  <si>
    <t>TIRE</t>
  </si>
  <si>
    <t xml:space="preserve">DEPARTMENT OF LABOR AND EMPLOYMENT </t>
  </si>
  <si>
    <t>BRAKES</t>
  </si>
  <si>
    <t>AIRCON</t>
  </si>
  <si>
    <t>BATTERY</t>
  </si>
  <si>
    <t>DATE</t>
  </si>
  <si>
    <t>BODY</t>
  </si>
  <si>
    <t>P.O No.</t>
  </si>
  <si>
    <t>VEHICLE</t>
  </si>
  <si>
    <t>FUEL LITER</t>
  </si>
  <si>
    <t>ODO</t>
  </si>
  <si>
    <t>BUILDING</t>
  </si>
  <si>
    <t>DRIVER</t>
  </si>
  <si>
    <t>TOYOTA INNOVA BLACKISH RED MICA SCC-1115</t>
  </si>
  <si>
    <t>TOYOTA INNOVA SILVER WITH PLATE No. SCD2797</t>
  </si>
  <si>
    <t>REGIONAL OFFICE III</t>
  </si>
  <si>
    <t>CONTENT</t>
  </si>
  <si>
    <t>SERVICE VEHICLE</t>
  </si>
  <si>
    <t>VEHICLE :</t>
  </si>
  <si>
    <t>TOYOTA INNOVA</t>
  </si>
  <si>
    <t>No.</t>
  </si>
  <si>
    <t>TRIP TICKET No.</t>
  </si>
  <si>
    <t>DESCRIPTION</t>
  </si>
  <si>
    <t>OFFICE</t>
  </si>
  <si>
    <t>CREDIT</t>
  </si>
  <si>
    <t>DEBIT</t>
  </si>
  <si>
    <t>COLOR</t>
  </si>
  <si>
    <t>BALANCE</t>
  </si>
  <si>
    <t>PN</t>
  </si>
  <si>
    <t>EASYTRIP</t>
  </si>
  <si>
    <t>PURPOSE</t>
  </si>
  <si>
    <t>USERNAME</t>
  </si>
  <si>
    <t>PLACE VISIT</t>
  </si>
  <si>
    <t>PASSENGER</t>
  </si>
  <si>
    <t>PW</t>
  </si>
  <si>
    <t>GSIS</t>
  </si>
  <si>
    <t>LTO</t>
  </si>
  <si>
    <t>COLOR :</t>
  </si>
  <si>
    <t>Renew Date</t>
  </si>
  <si>
    <t>BLACKISH RED MICA</t>
  </si>
  <si>
    <t>PAR</t>
  </si>
  <si>
    <t>SILVER</t>
  </si>
  <si>
    <t>REMARKS</t>
  </si>
  <si>
    <t>REGIONAL DIRECTOR</t>
  </si>
  <si>
    <t>BAYAD CENTER-SN FDO</t>
  </si>
  <si>
    <t>TOYOTA INNOVA 2.8 XE DIESEL A/T</t>
  </si>
  <si>
    <t>SILVER METALLIC</t>
  </si>
  <si>
    <t>PLATE NO. :</t>
  </si>
  <si>
    <t>SCB 1747</t>
  </si>
  <si>
    <t>SCC 1115</t>
  </si>
  <si>
    <t>ORD001</t>
  </si>
  <si>
    <t>TARLAC-X04</t>
  </si>
  <si>
    <t>BOCAUE BARRIER CS-X10</t>
  </si>
  <si>
    <t>5400-0291-4126</t>
  </si>
  <si>
    <t>DOLERO3SCD2797</t>
  </si>
  <si>
    <t>SCD2797red@plate2026</t>
  </si>
  <si>
    <t>JULY</t>
  </si>
  <si>
    <t>Atty. SARAH BUENA S. MIRASOL</t>
  </si>
  <si>
    <t>CAMPOLLO, EMILIO CABATBAT</t>
  </si>
  <si>
    <t>SERVICEABLE</t>
  </si>
  <si>
    <t>ARD</t>
  </si>
  <si>
    <t>RD DENG</t>
  </si>
  <si>
    <t>LUXENT HOTEL Q.C AND PRINCE HOTEL MANILA</t>
  </si>
  <si>
    <t>DRIVER :</t>
  </si>
  <si>
    <t>FRANCISCO CALONG JR.</t>
  </si>
  <si>
    <t>SAN FERNANDO SB-X02</t>
  </si>
  <si>
    <t>5400-0291-4203</t>
  </si>
  <si>
    <t>OFFICE :</t>
  </si>
  <si>
    <t>DOLERO3SCC1115</t>
  </si>
  <si>
    <t>OFFICE OF THE ASSISTANT REGIONAL DIRECTOR</t>
  </si>
  <si>
    <t>CO-RO/DOLE WIDE ANNUAL PLANNING/ NATIONAL TRIPARTITE COUNCIL</t>
  </si>
  <si>
    <t>SCC1115red@plate2026</t>
  </si>
  <si>
    <t>EMILIO  C. CAPOLLO</t>
  </si>
  <si>
    <t>BOCAUE IC SB-X01</t>
  </si>
  <si>
    <t>MAY</t>
  </si>
  <si>
    <t>ALEJANDRO V. INZA CRUZ</t>
  </si>
  <si>
    <t>CALONG, FRANCISCO JR. ZAMORA</t>
  </si>
  <si>
    <t>Del Monte NB Alpha-X62</t>
  </si>
  <si>
    <t>ZAMBALES</t>
  </si>
  <si>
    <t>TOYOTA INNOVA 2.8 E DIESEL A/T</t>
  </si>
  <si>
    <t>BLACK</t>
  </si>
  <si>
    <t>PR No.</t>
  </si>
  <si>
    <t>SCA 8117</t>
  </si>
  <si>
    <t>SUPPLIER</t>
  </si>
  <si>
    <t>COST</t>
  </si>
  <si>
    <t>FUEL LITERS</t>
  </si>
  <si>
    <t>OFFICE OF THE REGIONAL DIRECTOR</t>
  </si>
  <si>
    <t>TAMBUBONG NB-X02</t>
  </si>
  <si>
    <t>BALINTAWAK-N07</t>
  </si>
  <si>
    <t>5400-0291-4201</t>
  </si>
  <si>
    <t>DOLERO3SCA8117</t>
  </si>
  <si>
    <t>SCA8117red@plate2026</t>
  </si>
  <si>
    <t>IMSD-2025-0086</t>
  </si>
  <si>
    <t>REYNANTE N. LUGTU</t>
  </si>
  <si>
    <t>PMS AND CHANGE OIL OF SERVICE VEHICLE OF REGIONAL DIRECTOR TOYOTA INNOVA SCC-1115</t>
  </si>
  <si>
    <t>SAN FERNANDO NB-X01</t>
  </si>
  <si>
    <t>MOTECH AUTOMOTIVE EDUCATION CENTER INC.</t>
  </si>
  <si>
    <t>REGIONAL OFFICE</t>
  </si>
  <si>
    <t>TOYOTA HIACE COMMUTER 3.0 M/T</t>
  </si>
  <si>
    <t>WHITE</t>
  </si>
  <si>
    <t>SCD 2643</t>
  </si>
  <si>
    <t>BOCAUE BARRIER OS-S02</t>
  </si>
  <si>
    <t>BOCAUE BARRIER CS-X05</t>
  </si>
  <si>
    <t>IMSD-2026-0001</t>
  </si>
  <si>
    <t>5400-0291-4127</t>
  </si>
  <si>
    <t>1 PC BATTERY FOR DOLE SERVICE VEHICLE WITH PLATE # SCC 1115</t>
  </si>
  <si>
    <t>DOLERO3SCD2643</t>
  </si>
  <si>
    <t>PAMPANGA CATL TRADING INC.</t>
  </si>
  <si>
    <t>SCD2643red@plate2026</t>
  </si>
  <si>
    <t>Del Monte SB Alpha-X03</t>
  </si>
  <si>
    <t>MARCH</t>
  </si>
  <si>
    <t>ALBERT B. MANLAPAZ</t>
  </si>
  <si>
    <t>MARILAO NB-N01</t>
  </si>
  <si>
    <t>MIRANDA, JESUS JR. MORAL</t>
  </si>
  <si>
    <t>BALINTAWAK-N04</t>
  </si>
  <si>
    <t>SCB 1750</t>
  </si>
  <si>
    <t>SAN FERNANDO NB-X05</t>
  </si>
  <si>
    <t>5400-0291-4131</t>
  </si>
  <si>
    <t>DOLERO3SCD2800</t>
  </si>
  <si>
    <t>SCD2800red@plate2026</t>
  </si>
  <si>
    <t>BOCAUE BARRIER CS-X09</t>
  </si>
  <si>
    <t>OCTOBER</t>
  </si>
  <si>
    <t>AURORA</t>
  </si>
  <si>
    <t>Quezon Avenue NB Exit -X03</t>
  </si>
  <si>
    <t>SCB 1745</t>
  </si>
  <si>
    <t>Del Monte NB Alpha-X01</t>
  </si>
  <si>
    <t>5400-0291-4132</t>
  </si>
  <si>
    <t>DOLERO3SCD2795</t>
  </si>
  <si>
    <t>SCD2795red@plate2026</t>
  </si>
  <si>
    <t>BALINTAWAK-N08</t>
  </si>
  <si>
    <t>ANTONIO M. SICAT Jr.</t>
  </si>
  <si>
    <t>SICAT, ANTONIO JR. MENDOZA</t>
  </si>
  <si>
    <t>BULACAN</t>
  </si>
  <si>
    <t>ANGELES-X03</t>
  </si>
  <si>
    <t>SCB 1749</t>
  </si>
  <si>
    <t>SAN FERNANDO NB-X04</t>
  </si>
  <si>
    <t>ORD002</t>
  </si>
  <si>
    <t>PULILAN SB-X03</t>
  </si>
  <si>
    <t>5400-0291-4133</t>
  </si>
  <si>
    <t>DOLERO3SCD2799</t>
  </si>
  <si>
    <t>HAGONOY MUNICIPAL HALL</t>
  </si>
  <si>
    <t>SCD2799red@plate2026</t>
  </si>
  <si>
    <t>SEPTEMBER</t>
  </si>
  <si>
    <t>JOSE ROBERTO L. NAVATA</t>
  </si>
  <si>
    <t>ESTEBAN, SONNY DAVID</t>
  </si>
  <si>
    <t>MOA SIGNING RE: CONVERGENCE ON PROGRAM FOR OFW</t>
  </si>
  <si>
    <t>NUEVA ECIJA</t>
  </si>
  <si>
    <t>SCB 1748</t>
  </si>
  <si>
    <t>5400-0291-4135</t>
  </si>
  <si>
    <t>DOLERO3SCD2798</t>
  </si>
  <si>
    <t>SCD2798red@plate2026</t>
  </si>
  <si>
    <t>ORD005</t>
  </si>
  <si>
    <t>NEW CLARK CITY INTERCHANGE-X02</t>
  </si>
  <si>
    <t>AUGUST</t>
  </si>
  <si>
    <t>ETHELL C. GALVAN</t>
  </si>
  <si>
    <t>PASION, ROWELL ALLADO</t>
  </si>
  <si>
    <t>CAPAS EVENT CENTER CAPAS, TARLAC</t>
  </si>
  <si>
    <t>KARUHATAN-N01</t>
  </si>
  <si>
    <t>ARAW NG KASAMBAHAY</t>
  </si>
  <si>
    <t>BATAAN</t>
  </si>
  <si>
    <t>SCB 1751</t>
  </si>
  <si>
    <t>5400-0291-4128</t>
  </si>
  <si>
    <t>DOLERO3SCD2801</t>
  </si>
  <si>
    <t>SCD2801red@plate2026</t>
  </si>
  <si>
    <t>SAN FERNANDO NB-X06</t>
  </si>
  <si>
    <t>JANUARY</t>
  </si>
  <si>
    <t>MYLENE L. EVANGELISTA</t>
  </si>
  <si>
    <t>NIKKO FERRER</t>
  </si>
  <si>
    <t>TARLAC</t>
  </si>
  <si>
    <t>SCB 1746</t>
  </si>
  <si>
    <t>ORD006</t>
  </si>
  <si>
    <t>BOCAUE BARRIER CS-X12</t>
  </si>
  <si>
    <t>BOCAUE BARRIER CS-X04</t>
  </si>
  <si>
    <t>HOUSE OF REPRESENTATIVE, QUEZON CITY</t>
  </si>
  <si>
    <t>MEETING W/ CFL BLOC REPS</t>
  </si>
  <si>
    <t>MINDANAO-N03</t>
  </si>
  <si>
    <t>5400-0291-4130</t>
  </si>
  <si>
    <t>DOLERO3SCD2796</t>
  </si>
  <si>
    <t>SCD2796red@plate2026</t>
  </si>
  <si>
    <t>JUNE</t>
  </si>
  <si>
    <t>JASON P. OCAMPO</t>
  </si>
  <si>
    <t>HIPOLITO, CHRISTIAN LUIS</t>
  </si>
  <si>
    <t>ISUZU TRAVIS L VTO2 EURO IV</t>
  </si>
  <si>
    <t>ARC WHITE</t>
  </si>
  <si>
    <t>SCA 1174</t>
  </si>
  <si>
    <t>ORD007</t>
  </si>
  <si>
    <t>STA RITA SB-X01</t>
  </si>
  <si>
    <t>QUEST HOTEL CLARK, PAMPANGA</t>
  </si>
  <si>
    <t>5400-0291-3634</t>
  </si>
  <si>
    <t>DOLERO3SERVICEVEHICLE</t>
  </si>
  <si>
    <t>RO3 YEPA</t>
  </si>
  <si>
    <t>TRAVISred@plate2026</t>
  </si>
  <si>
    <t>APRIL</t>
  </si>
  <si>
    <t>CLARK SOUTH A-X03</t>
  </si>
  <si>
    <t>MITSUBISHI L300 FB EXCEED</t>
  </si>
  <si>
    <t>ASPEN WHITE</t>
  </si>
  <si>
    <t>SJJ 476</t>
  </si>
  <si>
    <t>ORD008</t>
  </si>
  <si>
    <t>BOCAUE BARRIER CS-X13</t>
  </si>
  <si>
    <t>CITY COVERED COURT POBLACION, SAN JOSE DEL MONTE, BULACAN</t>
  </si>
  <si>
    <t>ISUZU CROSSWIND XT M/T</t>
  </si>
  <si>
    <t>RICH RED</t>
  </si>
  <si>
    <t>SKY 715</t>
  </si>
  <si>
    <t xml:space="preserve">REFUND TOLL PASSAGE </t>
  </si>
  <si>
    <t>ORD011</t>
  </si>
  <si>
    <t>TIPO-X01</t>
  </si>
  <si>
    <t>5400-0291-4200</t>
  </si>
  <si>
    <t>DOLERO3SKY715</t>
  </si>
  <si>
    <t>SKY715red@plate2026</t>
  </si>
  <si>
    <t>OLONGAPO CITY HALL</t>
  </si>
  <si>
    <t>EMPLOYERS FORUM</t>
  </si>
  <si>
    <t>MIDNIGHT BLUE</t>
  </si>
  <si>
    <t>SKY 725</t>
  </si>
  <si>
    <t>BOCAUE IC SB-X02</t>
  </si>
  <si>
    <t>ORD012</t>
  </si>
  <si>
    <t>TOYOTA INNOVA BLACK SCA-8117</t>
  </si>
  <si>
    <t>BRGY. TULAT, SAN JOSE, NUEVA ECIJA</t>
  </si>
  <si>
    <t>COURTESY MEETING WITH DISTRICT2 CONG. MARIO SALVADOR</t>
  </si>
  <si>
    <t>ISUZU CROSSWIND XL WAGON</t>
  </si>
  <si>
    <t>TITANIUM SILVER</t>
  </si>
  <si>
    <t>MEXICO-X01</t>
  </si>
  <si>
    <t>SAA 3316</t>
  </si>
  <si>
    <t>ORD014</t>
  </si>
  <si>
    <t>ROYCE HOTEL CLARK, PAMPANGA</t>
  </si>
  <si>
    <t>5400-0293-0459</t>
  </si>
  <si>
    <t>DOLERO3SAA3316</t>
  </si>
  <si>
    <t>2-Jun-2025 2 FRONT</t>
  </si>
  <si>
    <t>SAA3316red@plate2026</t>
  </si>
  <si>
    <t>WR BASIC SEADO</t>
  </si>
  <si>
    <t>BALINTAWAK-N05</t>
  </si>
  <si>
    <t>ISUZU CROSSWIND</t>
  </si>
  <si>
    <t>SJX 679</t>
  </si>
  <si>
    <t>STA RITA SB-X02</t>
  </si>
  <si>
    <t>FREEDOM WHITE</t>
  </si>
  <si>
    <t>SJB 467</t>
  </si>
  <si>
    <t>ESPANA MAINLINE SB-S04</t>
  </si>
  <si>
    <t>CLARK SOUTH B-X02</t>
  </si>
  <si>
    <t>SAN MIGUEL-X02</t>
  </si>
  <si>
    <t>TOYOTA INNOVA 2.5 DSL</t>
  </si>
  <si>
    <t>PULILAN NB-X02</t>
  </si>
  <si>
    <t>THERMALYTE</t>
  </si>
  <si>
    <t>SHY 948</t>
  </si>
  <si>
    <t>SAN FERNANDO NB-X02</t>
  </si>
  <si>
    <t>MITSUBISHI ADVENTURE</t>
  </si>
  <si>
    <t>BLUE</t>
  </si>
  <si>
    <t>SFG 544</t>
  </si>
  <si>
    <t>SAN MIGUEL-X01</t>
  </si>
  <si>
    <t>TIPO-X02</t>
  </si>
  <si>
    <t>MEXICO-X02</t>
  </si>
  <si>
    <t>UNSERVICEABLE</t>
  </si>
  <si>
    <t>MITSUBSHI REVO</t>
  </si>
  <si>
    <t>GREEN</t>
  </si>
  <si>
    <t>SAN FERNANDO SB-X01</t>
  </si>
  <si>
    <t>SFD 653</t>
  </si>
  <si>
    <t>ZAMBALES FIELD OFFICE</t>
  </si>
  <si>
    <t>TIPO-X06</t>
  </si>
  <si>
    <t>SFEX (INBOUND)-I01</t>
  </si>
  <si>
    <t>ISUZU SPORTIVO</t>
  </si>
  <si>
    <t>BROWN</t>
  </si>
  <si>
    <t>DINALUPIHAN-X03</t>
  </si>
  <si>
    <t>SKW-526</t>
  </si>
  <si>
    <t>SFEX (OUTBOUND)-O02</t>
  </si>
  <si>
    <t>AUTHORIZED DRIVER</t>
  </si>
  <si>
    <t>SFEX (OUTBOUND)-O01</t>
  </si>
  <si>
    <t>LICENSE NUMBER</t>
  </si>
  <si>
    <t>TARLAC-X03</t>
  </si>
  <si>
    <t>EXP.DATE</t>
  </si>
  <si>
    <t>PLACE</t>
  </si>
  <si>
    <t>SAN FERNANDO NB-X03</t>
  </si>
  <si>
    <t>MOBILE No.</t>
  </si>
  <si>
    <t>2023-00802</t>
  </si>
  <si>
    <t>FO3-99-129315</t>
  </si>
  <si>
    <t>FOR REPLACEMENT OF 4 PCS TIRES OF DOLE RO3 SERVICE VEHICLE PN P9-1824</t>
  </si>
  <si>
    <t>CLARK SOUTH A-X04</t>
  </si>
  <si>
    <t>SAN FERNANDO SB-X05</t>
  </si>
  <si>
    <t>ORD</t>
  </si>
  <si>
    <t>09078366655</t>
  </si>
  <si>
    <t>SFEX (INBOUND)-I02</t>
  </si>
  <si>
    <t>ANGELES-X02</t>
  </si>
  <si>
    <t>BOCAUE BARRIER CS-X08</t>
  </si>
  <si>
    <t>JESUS M. MIRANDA Jr.</t>
  </si>
  <si>
    <t>C10-96-127474</t>
  </si>
  <si>
    <t>RO</t>
  </si>
  <si>
    <t>09176764469</t>
  </si>
  <si>
    <t>IMSD-2024-0023</t>
  </si>
  <si>
    <t>FRANCISCO Z. CALONG Jr.</t>
  </si>
  <si>
    <t>HO1-95-010643</t>
  </si>
  <si>
    <t>OARD</t>
  </si>
  <si>
    <t>09494178339</t>
  </si>
  <si>
    <t>Replacement of battery for Innova P6-A824</t>
  </si>
  <si>
    <t>NAPOLEON P. TOLENTINO</t>
  </si>
  <si>
    <t>D14-05-119675</t>
  </si>
  <si>
    <t>ROWELL A. PASION</t>
  </si>
  <si>
    <t>C10-13-021266</t>
  </si>
  <si>
    <t>N.E FO</t>
  </si>
  <si>
    <t>09357642962</t>
  </si>
  <si>
    <t>SONNY D. ESTEBAN</t>
  </si>
  <si>
    <t>C11-18-010556</t>
  </si>
  <si>
    <t>IMSD-2024-0065</t>
  </si>
  <si>
    <t>BUL FO</t>
  </si>
  <si>
    <t>LABOR AND MATERIALS FOR THE PMS OF TOYOTA INNOVA WITH PN: P6-A824</t>
  </si>
  <si>
    <t>TOYOTA SAN FERNANDO, PAMPANGA, INC.</t>
  </si>
  <si>
    <t>09773032208</t>
  </si>
  <si>
    <t>CHRISTIAN LUIS B. HIPOLITO</t>
  </si>
  <si>
    <t>C10-16-016287</t>
  </si>
  <si>
    <t>TAR FO</t>
  </si>
  <si>
    <t>09196857593</t>
  </si>
  <si>
    <t>NIKKO P. FERRER</t>
  </si>
  <si>
    <t>BOCAUE BARRIER CS-X06</t>
  </si>
  <si>
    <t>C02-14-001316</t>
  </si>
  <si>
    <t>ESPANA BARRIER NB-N04</t>
  </si>
  <si>
    <t>BAT FO</t>
  </si>
  <si>
    <t>09264444833</t>
  </si>
  <si>
    <t>IMSD-2024-0183A</t>
  </si>
  <si>
    <t>JOSELITO O. VALERIO</t>
  </si>
  <si>
    <t>C07-96-143419</t>
  </si>
  <si>
    <t>REPAIR AND MAINTENANCE OF SERVICE VEHICLE TOYOTA INNOVA WITH PLATE NO. P6-A824</t>
  </si>
  <si>
    <t>BALINTAWAK-N03</t>
  </si>
  <si>
    <t>MARIO D. DELA CRUZ Jr.</t>
  </si>
  <si>
    <t>C10-02-189482</t>
  </si>
  <si>
    <t>PAMP FO</t>
  </si>
  <si>
    <t>JASON Z. GOPEZ</t>
  </si>
  <si>
    <t>C10-93-090213</t>
  </si>
  <si>
    <t>DINALUPIHAN-X01</t>
  </si>
  <si>
    <t>IMSD-2025-0019</t>
  </si>
  <si>
    <t>2 PCS TIRE 205 165X16 FOR SERVICE VEHICLE TOYOTA INNOVA WITH PLATE NO. P6-A824</t>
  </si>
  <si>
    <t>C10-97-131038</t>
  </si>
  <si>
    <t>06-Sept-2026</t>
  </si>
  <si>
    <t>AU FO</t>
  </si>
  <si>
    <t>FLORIDABLANCA-X01</t>
  </si>
  <si>
    <t>C10-09-018736</t>
  </si>
  <si>
    <t>CLARK NORTH B-X01</t>
  </si>
  <si>
    <t>ZAM FO</t>
  </si>
  <si>
    <t>IMSD-2025-0042</t>
  </si>
  <si>
    <t>PREVENTIVE MAINTENANCE SCHEDULE OF SERVICE VEHICLE TOYOTA INNOVA WITH PLATE NO. P6 A824</t>
  </si>
  <si>
    <t>C10-05-007184</t>
  </si>
  <si>
    <t>IMSD-2025-0093</t>
  </si>
  <si>
    <t>RODNEY M. HIDALGO</t>
  </si>
  <si>
    <t>REPAIR AND MAINTENANCE OF P6-A824</t>
  </si>
  <si>
    <t>C05-17-013022</t>
  </si>
  <si>
    <t>NE FO</t>
  </si>
  <si>
    <t>JOHN PAUL M. REYES</t>
  </si>
  <si>
    <t>07-Sept-2026</t>
  </si>
  <si>
    <t>CLARK NORTH B-X02</t>
  </si>
  <si>
    <t>C38-23-006934</t>
  </si>
  <si>
    <t>SAN FDO-PULILAN REBATE 2026SEP06 14:56:00 SAN FERNANDO NB-X03</t>
  </si>
  <si>
    <t>09617688279</t>
  </si>
  <si>
    <t>IMSD-2025-0171</t>
  </si>
  <si>
    <t xml:space="preserve">SERVICES REPAIR OF P6-A824 FOR DOLE RO3 </t>
  </si>
  <si>
    <t>C11-13-013780</t>
  </si>
  <si>
    <t xml:space="preserve">RO </t>
  </si>
  <si>
    <t>SAN FDO-PULILAN REBATE 2026SEP06 09:25:48 PULILAN SB-X13</t>
  </si>
  <si>
    <t>JUSTIN BRYAN E. TABORA</t>
  </si>
  <si>
    <t>C09-20-005224</t>
  </si>
  <si>
    <t>GILBERT G. GOMEZ</t>
  </si>
  <si>
    <t>C10-11-010295</t>
  </si>
  <si>
    <t>08-Sept-2026</t>
  </si>
  <si>
    <t>ESPANA MAINLINE SB-S03</t>
  </si>
  <si>
    <t>09761005133</t>
  </si>
  <si>
    <t>BOCAUE BARRIER CS-X07</t>
  </si>
  <si>
    <t>DANIEL D. DIONE</t>
  </si>
  <si>
    <t>C10-10-008069</t>
  </si>
  <si>
    <t>ESPANA BARRIER NB-N02</t>
  </si>
  <si>
    <t>09914129967</t>
  </si>
  <si>
    <t>BALINTAWAK-N06</t>
  </si>
  <si>
    <t>RICARDO L. MALIG</t>
  </si>
  <si>
    <t>KARUHATAN-N02</t>
  </si>
  <si>
    <t>C10-96-122036</t>
  </si>
  <si>
    <t>TSSD2</t>
  </si>
  <si>
    <t>28-Sept-2026</t>
  </si>
  <si>
    <t>CLARK SOUTH B-X01</t>
  </si>
  <si>
    <t>PETER JUSTINE AGUILAR</t>
  </si>
  <si>
    <t>C10-17-003456</t>
  </si>
  <si>
    <t>TSSD1</t>
  </si>
  <si>
    <t>JON ERIK  TULLAO</t>
  </si>
  <si>
    <t>C10-10-020315</t>
  </si>
  <si>
    <t>09-Sept-2026</t>
  </si>
  <si>
    <t>SAN FDO-PULILAN REBATE 2026SEP08 21:16:10 SAN FERNANDO NB-X03</t>
  </si>
  <si>
    <t>HERBERT M. GULAPA</t>
  </si>
  <si>
    <t>C10-03-002996</t>
  </si>
  <si>
    <t>SAN FDO-PULILAN REBATE 2026SEP08 07:03:44 PULILAN SB-X07</t>
  </si>
  <si>
    <t>11-Sept-2026</t>
  </si>
  <si>
    <t>KEVIN G. SUBA</t>
  </si>
  <si>
    <t>C10-16-012422</t>
  </si>
  <si>
    <t>BOCAUE BARRIER CS-X11</t>
  </si>
  <si>
    <t>GREGORIO M. SIGUI Jr.</t>
  </si>
  <si>
    <t>C10-21-075249</t>
  </si>
  <si>
    <t>MALSU</t>
  </si>
  <si>
    <t>09053959463</t>
  </si>
  <si>
    <t>Buendia SB Exit-X01</t>
  </si>
  <si>
    <t>Del Monte NB Alpha-X02</t>
  </si>
  <si>
    <t>29-Sept-2026</t>
  </si>
  <si>
    <t>TIPO-X05</t>
  </si>
  <si>
    <t>13-Sept-2026</t>
  </si>
  <si>
    <t>STA INES-X01</t>
  </si>
  <si>
    <t>14-Sept-2026</t>
  </si>
  <si>
    <t>SAN FERNANDO SB-X04</t>
  </si>
  <si>
    <t>Balance Transfer</t>
  </si>
  <si>
    <t>16-Sept-2026</t>
  </si>
  <si>
    <t>17-Sept-2026</t>
  </si>
  <si>
    <t>BOCAUE BARRIER CS-X16</t>
  </si>
  <si>
    <t>Del Monte SB Alpha-X04</t>
  </si>
  <si>
    <t>22-Sept-2026</t>
  </si>
  <si>
    <t>Skyway Exit-X02</t>
  </si>
  <si>
    <t>Macapagal-X04</t>
  </si>
  <si>
    <t>NAIA Main A-X02</t>
  </si>
  <si>
    <t>Del Monte NB Alpha-X03</t>
  </si>
  <si>
    <t>30-Sept-2026</t>
  </si>
  <si>
    <t>BOCAUE BARRIER CS-X15</t>
  </si>
  <si>
    <t>[p</t>
  </si>
  <si>
    <t>Reload API Bayad Center BranchID: 8208</t>
  </si>
  <si>
    <t>BOCAUE BARRIER CS-X14</t>
  </si>
  <si>
    <t>Mamplasan North Entry/Exit-X04</t>
  </si>
  <si>
    <t>MINDANAO-N04</t>
  </si>
  <si>
    <t>Governor's Drive-X04</t>
  </si>
  <si>
    <t>KWT-KN06</t>
  </si>
  <si>
    <t>01-Sept-2026</t>
  </si>
  <si>
    <t>PQE-PN12</t>
  </si>
  <si>
    <t>Terminal 2-X02</t>
  </si>
  <si>
    <t>BALAGTAS-X04</t>
  </si>
  <si>
    <t>03-Sept-2026</t>
  </si>
  <si>
    <t>Quirino SB Exit -X01</t>
  </si>
  <si>
    <t>Quezon Avenue NB Exit -X02</t>
  </si>
  <si>
    <t>04-Sept-2026</t>
  </si>
  <si>
    <t>SAN FDO-PULILAN REBATE 2026SEP03 19:11:51 PULILAN SB-X08</t>
  </si>
  <si>
    <t>BALINTAWAK-N13</t>
  </si>
  <si>
    <t>Del Monte NB Alpha-X04</t>
  </si>
  <si>
    <t>BALINTAWAK-N11</t>
  </si>
  <si>
    <t>10-Sept-2026</t>
  </si>
  <si>
    <t>SAN FDO-PULILAN REBATE 2026SEP09 08:33:20 SAN FERNANDO NB-X05</t>
  </si>
  <si>
    <t>Reversal of Passage Del Monte SB Alpha - X03 2026-09-07 07:48:01 AM -</t>
  </si>
  <si>
    <t>API Fastek Terminal BranchID: 158</t>
  </si>
  <si>
    <t>BALINTAWAK-N12</t>
  </si>
  <si>
    <t>TABANG-X05</t>
  </si>
  <si>
    <t>15-Sept-2026</t>
  </si>
  <si>
    <t>TABANG-X03</t>
  </si>
  <si>
    <t>18-Sept-2026</t>
  </si>
  <si>
    <t>21-Sept-2026</t>
  </si>
  <si>
    <t>Quezon Avenue SB Entry -X02</t>
  </si>
  <si>
    <t>TARLAC-X05</t>
  </si>
  <si>
    <t>24-Sept-2026</t>
  </si>
  <si>
    <t>STA RITA NB-X04</t>
  </si>
  <si>
    <t>MARILAO NB-N02</t>
  </si>
  <si>
    <t>SAN FERNANDO NB-X07</t>
  </si>
  <si>
    <t>TOYOTA HIACE COMMUTER WHITE WITH PLATE No. SCD 2800</t>
  </si>
  <si>
    <t>TOYOTA HI ACE COMMUTER</t>
  </si>
  <si>
    <t>NAPOLEON TOLENTINO</t>
  </si>
  <si>
    <t>CLARK SOUTH A-X02</t>
  </si>
  <si>
    <t>Del Monte SB Alpha-X02</t>
  </si>
  <si>
    <t>Quirino SB Exit -X02</t>
  </si>
  <si>
    <t>TARLAC-X02</t>
  </si>
  <si>
    <t>MEXICO-X01 N</t>
  </si>
  <si>
    <t>TOYOTA HIACE COMMUTER WHITE WITH PLATE No. SCD 2795</t>
  </si>
  <si>
    <t>SCB1745</t>
  </si>
  <si>
    <t>MEXICO-X03</t>
  </si>
  <si>
    <t>ANTONIO SICAT Jr.</t>
  </si>
  <si>
    <t>AURORA FIELD OFFICE</t>
  </si>
  <si>
    <t>ESPANA MAINLINE SB-S01</t>
  </si>
  <si>
    <t xml:space="preserve"> </t>
  </si>
  <si>
    <t>PORAC-X01</t>
  </si>
  <si>
    <t>TOYOTA HIACE COMMUTER WHITE WITH PLATE No. SCD 2799</t>
  </si>
  <si>
    <t>MEYCAUAYAN NB-N02</t>
  </si>
  <si>
    <t>SAN FDO-PULILAN REBATE 2026SEP04 09:44:50   PULILAN SB-X10</t>
  </si>
  <si>
    <t>SAN FDO-PULILAN REBATE 2026SEP04 16:03:02   SAN FERNANDO NB-X05</t>
  </si>
  <si>
    <t>SONNY ESTEBAN</t>
  </si>
  <si>
    <t>MEYCAUAYAN NB-N03</t>
  </si>
  <si>
    <t>BULACAN FIELD OFFICE</t>
  </si>
  <si>
    <t>CIUDAD DE VICTORIA NB-X04</t>
  </si>
  <si>
    <t>SAN FDO-PULILAN REBATE 2026SEP07 18:33:13   SAN FERNANDO NB-X05</t>
  </si>
  <si>
    <t>SAN FDO-PULILAN REBATE 2026SEP07 11:54:31   PULILAN SB-X09</t>
  </si>
  <si>
    <t>BOCAUE BARRIER CS-X18</t>
  </si>
  <si>
    <t>l SAN FERNANDO NB-X04</t>
  </si>
  <si>
    <t>Del Monte SB Bravo-X07</t>
  </si>
  <si>
    <t>Naiax Andrews Exit-X02</t>
  </si>
  <si>
    <t>Skyway Entry-X02</t>
  </si>
  <si>
    <t>Quirino NB Exit-X03</t>
  </si>
  <si>
    <t>API Bayad Center BranchID: 8208</t>
  </si>
  <si>
    <t>Del Monte NB Bravo-X05</t>
  </si>
  <si>
    <t>BALINTAWAK-N09</t>
  </si>
  <si>
    <t>TOYOTA HIACE COMMUTER WHITE WITH PLATE No. SCD 2798</t>
  </si>
  <si>
    <t>RO3-001</t>
  </si>
  <si>
    <t>Mexico/Tarlac</t>
  </si>
  <si>
    <t>Toll</t>
  </si>
  <si>
    <t>Ray Marc F. Carreon/David Valentino</t>
  </si>
  <si>
    <t>RO3</t>
  </si>
  <si>
    <t>Exigency of Service</t>
  </si>
  <si>
    <t>RO3-002</t>
  </si>
  <si>
    <t>Ethell C. Galvan</t>
  </si>
  <si>
    <t>ROWELL PASION</t>
  </si>
  <si>
    <t>RO3-003</t>
  </si>
  <si>
    <t>San Fernando /Tarlac</t>
  </si>
  <si>
    <t>Cabanatuan city/Gapan NE</t>
  </si>
  <si>
    <t xml:space="preserve">Courtesy Call </t>
  </si>
  <si>
    <t>NUEVA ECIJA FIELD OFFICE</t>
  </si>
  <si>
    <t>RO3-004</t>
  </si>
  <si>
    <t>Sheryl Anne S. Santos/Jefferson Sabado</t>
  </si>
  <si>
    <t>Brgy.Tulat,San Jose city NE</t>
  </si>
  <si>
    <t>Exigency of service/Courtesy call</t>
  </si>
  <si>
    <t>RO3-005</t>
  </si>
  <si>
    <t>Munoz Nueva Ecija</t>
  </si>
  <si>
    <t xml:space="preserve">Exigency of Service </t>
  </si>
  <si>
    <t>RO3-006</t>
  </si>
  <si>
    <t>Gilbert Gomez/Paul Reyes</t>
  </si>
  <si>
    <t>San Fernando /Mexico/Mabalacat</t>
  </si>
  <si>
    <t>Pick up Docs and materials</t>
  </si>
  <si>
    <t>PMS-5000</t>
  </si>
  <si>
    <t>Toyota Plaridel</t>
  </si>
  <si>
    <t>Free</t>
  </si>
  <si>
    <t>RO3-007</t>
  </si>
  <si>
    <t>San Fernando /Clark South</t>
  </si>
  <si>
    <t>RO3/Royce Hotel Clark</t>
  </si>
  <si>
    <t>PMS-10,000</t>
  </si>
  <si>
    <t>RO3-008</t>
  </si>
  <si>
    <t>PMS-15000</t>
  </si>
  <si>
    <t>RO3-009</t>
  </si>
  <si>
    <t xml:space="preserve">Clark South/San Fernando </t>
  </si>
  <si>
    <t xml:space="preserve">RO3/Royce Hotel Clark </t>
  </si>
  <si>
    <t>RO3-010</t>
  </si>
  <si>
    <t>Cabanatuan NE</t>
  </si>
  <si>
    <t xml:space="preserve"> RO3-011</t>
  </si>
  <si>
    <t xml:space="preserve"> RO3-012</t>
  </si>
  <si>
    <t xml:space="preserve"> RO3-013</t>
  </si>
  <si>
    <t xml:space="preserve">Tarlac/San Fernando </t>
  </si>
  <si>
    <t xml:space="preserve"> RO3-014</t>
  </si>
  <si>
    <t xml:space="preserve"> RO3-015</t>
  </si>
  <si>
    <t xml:space="preserve"> RO3-016</t>
  </si>
  <si>
    <t>Sta Rosa Nueva Ecija</t>
  </si>
  <si>
    <t>ITC Agri Business/TAV</t>
  </si>
  <si>
    <t xml:space="preserve"> RO3-017</t>
  </si>
  <si>
    <t>Gapan Nueva Ecija</t>
  </si>
  <si>
    <t xml:space="preserve"> RO3-018</t>
  </si>
  <si>
    <t xml:space="preserve"> RO3-019</t>
  </si>
  <si>
    <t xml:space="preserve"> RO3-020</t>
  </si>
  <si>
    <t xml:space="preserve"> RO3-021</t>
  </si>
  <si>
    <t xml:space="preserve"> RO3-022</t>
  </si>
  <si>
    <t xml:space="preserve"> RO4-001</t>
  </si>
  <si>
    <t xml:space="preserve"> RO4-002</t>
  </si>
  <si>
    <t xml:space="preserve"> RO4-003</t>
  </si>
  <si>
    <t xml:space="preserve"> RO4-004</t>
  </si>
  <si>
    <t xml:space="preserve"> RO4-005</t>
  </si>
  <si>
    <t xml:space="preserve"> RO4-006</t>
  </si>
  <si>
    <t xml:space="preserve"> RO4-007</t>
  </si>
  <si>
    <t xml:space="preserve"> RO4-008</t>
  </si>
  <si>
    <t xml:space="preserve"> RO4-009</t>
  </si>
  <si>
    <t xml:space="preserve"> RO4-010</t>
  </si>
  <si>
    <t>Tarlac/Mexico</t>
  </si>
  <si>
    <t xml:space="preserve"> RO4-011</t>
  </si>
  <si>
    <t>TOYOTA HIACE COMMUTER WHITE WITH PLATE No. SCD 2643</t>
  </si>
  <si>
    <t xml:space="preserve"> RO4-012</t>
  </si>
  <si>
    <t>Lupao NE</t>
  </si>
  <si>
    <t xml:space="preserve"> RO4-013</t>
  </si>
  <si>
    <t>Ethell C. Galvan/James Baltazar/Estrella De Lara</t>
  </si>
  <si>
    <t>Guimba/Gen Natividad</t>
  </si>
  <si>
    <t xml:space="preserve"> RO4-014</t>
  </si>
  <si>
    <t>Bongabon NE</t>
  </si>
  <si>
    <t xml:space="preserve"> RO4-015</t>
  </si>
  <si>
    <t xml:space="preserve">San Fernando /Sta Rita/San Fernando </t>
  </si>
  <si>
    <t xml:space="preserve">RO3/Toyota Plaridel Bulacan </t>
  </si>
  <si>
    <t>PMS of Service</t>
  </si>
  <si>
    <t xml:space="preserve"> RO4-016</t>
  </si>
  <si>
    <t xml:space="preserve"> RO4-017</t>
  </si>
  <si>
    <t>San Jose City/RO3</t>
  </si>
  <si>
    <t xml:space="preserve"> RO4-018</t>
  </si>
  <si>
    <t xml:space="preserve"> RO4-019</t>
  </si>
  <si>
    <t xml:space="preserve"> RO5-001</t>
  </si>
  <si>
    <t>Cabanatuan NE/QRO3</t>
  </si>
  <si>
    <t xml:space="preserve"> RO5-002</t>
  </si>
  <si>
    <t>GCASH</t>
  </si>
  <si>
    <t xml:space="preserve"> RO5-003</t>
  </si>
  <si>
    <t>Llanera NE</t>
  </si>
  <si>
    <t xml:space="preserve"> RO5-004</t>
  </si>
  <si>
    <t xml:space="preserve"> RO5-005</t>
  </si>
  <si>
    <t xml:space="preserve"> RO5-006</t>
  </si>
  <si>
    <t>IMSD001</t>
  </si>
  <si>
    <t xml:space="preserve"> RO5-007</t>
  </si>
  <si>
    <t xml:space="preserve">PULILAN SB-X02 </t>
  </si>
  <si>
    <t>Toll/Reload/IMSD</t>
  </si>
  <si>
    <t>Clark Pampanga</t>
  </si>
  <si>
    <t>Fun Run</t>
  </si>
  <si>
    <t>DIR. MARIA RIMA C. HERNANDEZ, LEAH LAZARO, AIRA CUNANAN-PUNO</t>
  </si>
  <si>
    <t xml:space="preserve"> RO5-008</t>
  </si>
  <si>
    <t>San Isidro NE</t>
  </si>
  <si>
    <t xml:space="preserve"> RO5-009</t>
  </si>
  <si>
    <t>SEQUOIA HOTEL MANILA BAY, ASEANA CITY BUSINESS PARK, PARAÑAQUE</t>
  </si>
  <si>
    <t xml:space="preserve"> RO5-010</t>
  </si>
  <si>
    <t>RO3/CLARK Pampanga</t>
  </si>
  <si>
    <t xml:space="preserve"> RO5-011</t>
  </si>
  <si>
    <t>LABOUR INSPECTORATE MANAGERS TRAINING UNDER THE CTIF-COWATER INTERNATIONAL PROJECT</t>
  </si>
  <si>
    <t xml:space="preserve"> RO5-012</t>
  </si>
  <si>
    <t xml:space="preserve"> RO5-013</t>
  </si>
  <si>
    <t>RO3/Cabanatuan NE</t>
  </si>
  <si>
    <t xml:space="preserve"> RO5-014</t>
  </si>
  <si>
    <t>SAN SIMON NB-X01</t>
  </si>
  <si>
    <t xml:space="preserve"> Sta Rosa NE</t>
  </si>
  <si>
    <t xml:space="preserve"> RO5-015</t>
  </si>
  <si>
    <t xml:space="preserve"> RO5-016</t>
  </si>
  <si>
    <t xml:space="preserve">BOCAUE BARRIER CS-X10 </t>
  </si>
  <si>
    <t xml:space="preserve"> RO5-017</t>
  </si>
  <si>
    <t xml:space="preserve">San Fernando/Clark North/San Fernando </t>
  </si>
  <si>
    <t>N/A</t>
  </si>
  <si>
    <t>RO3 DUTY</t>
  </si>
  <si>
    <t xml:space="preserve">Del Monte SB Alpha-X02 </t>
  </si>
  <si>
    <t xml:space="preserve"> RO5-018</t>
  </si>
  <si>
    <t xml:space="preserve">JPO'S </t>
  </si>
  <si>
    <t xml:space="preserve"> RO5-019</t>
  </si>
  <si>
    <t xml:space="preserve">Macapagal-X04 </t>
  </si>
  <si>
    <t xml:space="preserve"> RO5-020</t>
  </si>
  <si>
    <t xml:space="preserve">NAIA Main A-X04 </t>
  </si>
  <si>
    <t>RO6-001</t>
  </si>
  <si>
    <t>Gabaldon NE</t>
  </si>
  <si>
    <t>Brigada Eskwela</t>
  </si>
  <si>
    <t>RO6-002</t>
  </si>
  <si>
    <t>Sta Rosa NE/RO3</t>
  </si>
  <si>
    <t>TAV</t>
  </si>
  <si>
    <t>RO6-003</t>
  </si>
  <si>
    <t>San Fernando/Tarlac</t>
  </si>
  <si>
    <t xml:space="preserve">BALINTAWAK-N07 </t>
  </si>
  <si>
    <t>RO6-004</t>
  </si>
  <si>
    <t xml:space="preserve">SAN FERNANDO NB-X04 </t>
  </si>
  <si>
    <t>Licab NE</t>
  </si>
  <si>
    <t>RO6-005</t>
  </si>
  <si>
    <t>MANCOM</t>
  </si>
  <si>
    <t>RO6-006</t>
  </si>
  <si>
    <t>Jay-Jay Calimag</t>
  </si>
  <si>
    <t>Zaragoza NE</t>
  </si>
  <si>
    <t>RO6-007</t>
  </si>
  <si>
    <t>Michelle Corpuz/David Valentino/Veronica Domingo</t>
  </si>
  <si>
    <t>Tupad Monitoring</t>
  </si>
  <si>
    <t>RO6-008</t>
  </si>
  <si>
    <t>RO6-009</t>
  </si>
  <si>
    <t xml:space="preserve">Del Monte SB Alpha-X03 </t>
  </si>
  <si>
    <t>Trabaho Agad/Job Fair</t>
  </si>
  <si>
    <t>RO6-010</t>
  </si>
  <si>
    <t xml:space="preserve">San Fernando /Tarlac </t>
  </si>
  <si>
    <t>Gabaldon NE/RO3</t>
  </si>
  <si>
    <t>Awarding DILP</t>
  </si>
  <si>
    <t xml:space="preserve">Quirino SB Exit -X02 </t>
  </si>
  <si>
    <t>RO6-011</t>
  </si>
  <si>
    <t>Sinagtala/Bataan</t>
  </si>
  <si>
    <t>PESO TeamBuilding</t>
  </si>
  <si>
    <t>RO6-012</t>
  </si>
  <si>
    <t xml:space="preserve">Del Monte NB Bravo-X05 </t>
  </si>
  <si>
    <t>RO6-013</t>
  </si>
  <si>
    <t xml:space="preserve">BALINTAWAK-N05 </t>
  </si>
  <si>
    <t>RO6-014</t>
  </si>
  <si>
    <t>RO6-015</t>
  </si>
  <si>
    <t>Laur NE</t>
  </si>
  <si>
    <t>RO6-016</t>
  </si>
  <si>
    <t>Endorsed Docs</t>
  </si>
  <si>
    <t>RO6-017</t>
  </si>
  <si>
    <t>Gen.Natividad NE</t>
  </si>
  <si>
    <t xml:space="preserve">BOCAUE BARRIER CS-X09 </t>
  </si>
  <si>
    <t>TUPAD PAYOUT</t>
  </si>
  <si>
    <t>RO6-018</t>
  </si>
  <si>
    <t>Dingalan,Aurora</t>
  </si>
  <si>
    <t>Team Building</t>
  </si>
  <si>
    <t>RO6-019</t>
  </si>
  <si>
    <t>RO6-020</t>
  </si>
  <si>
    <t>Sto. Domingo NE</t>
  </si>
  <si>
    <t>RO6-021</t>
  </si>
  <si>
    <t>LEAP Awarding</t>
  </si>
  <si>
    <t>RO7-001</t>
  </si>
  <si>
    <t>RO7-002</t>
  </si>
  <si>
    <t>San Jose City/San Isidro NE/RO3</t>
  </si>
  <si>
    <t>Awardinf DILP/SPES</t>
  </si>
  <si>
    <t>RO7-003</t>
  </si>
  <si>
    <t>LGU Meeting</t>
  </si>
  <si>
    <t>RO7-004</t>
  </si>
  <si>
    <t xml:space="preserve">Toyota </t>
  </si>
  <si>
    <t>RO7-005</t>
  </si>
  <si>
    <t xml:space="preserve">San Jose City </t>
  </si>
  <si>
    <t>MOA Signing</t>
  </si>
  <si>
    <t>RO7-006</t>
  </si>
  <si>
    <t>Toll/Reload/kuya Nap</t>
  </si>
  <si>
    <t>Ethell C. Galvan/Jefferson Sabado</t>
  </si>
  <si>
    <t>AMP Monitoring</t>
  </si>
  <si>
    <t>RO7-007</t>
  </si>
  <si>
    <t>RO7-008</t>
  </si>
  <si>
    <t>RO7-009</t>
  </si>
  <si>
    <t>RO7-010</t>
  </si>
  <si>
    <t>RO7-011</t>
  </si>
  <si>
    <t>RO7-012</t>
  </si>
  <si>
    <t>RO7-013</t>
  </si>
  <si>
    <t>RO7-014</t>
  </si>
  <si>
    <t>Jose Jommel Yabot</t>
  </si>
  <si>
    <t>Talugtud NE/RO3</t>
  </si>
  <si>
    <t>Serbisyo Caravan</t>
  </si>
  <si>
    <t>RO7-015</t>
  </si>
  <si>
    <t>RO3/Mexico</t>
  </si>
  <si>
    <t>RO7-016</t>
  </si>
  <si>
    <t>Gapan City NE</t>
  </si>
  <si>
    <t>IMSD002</t>
  </si>
  <si>
    <t xml:space="preserve">STA RITA SB-X02 </t>
  </si>
  <si>
    <t>RO7-017</t>
  </si>
  <si>
    <t xml:space="preserve">San Fernando Tarlac </t>
  </si>
  <si>
    <t>AIRA CUNANAN-PUNO</t>
  </si>
  <si>
    <t>RO7-018</t>
  </si>
  <si>
    <t>RO7-019</t>
  </si>
  <si>
    <t>CITY OF SAN JOSE DEL MONTE, BULACAN</t>
  </si>
  <si>
    <t>RO7-020</t>
  </si>
  <si>
    <t>DOCUMENTATION FOR ARAW NG KASAMBAHAY</t>
  </si>
  <si>
    <t>Palayan City NE</t>
  </si>
  <si>
    <t>PESO Monthly Meeting</t>
  </si>
  <si>
    <t>RO8-001</t>
  </si>
  <si>
    <t>Cabanatuan N.E</t>
  </si>
  <si>
    <t>RO8-002</t>
  </si>
  <si>
    <t>Jefferson Sabado</t>
  </si>
  <si>
    <t>San jose city/Palayan N.E</t>
  </si>
  <si>
    <t>Attend coordinating conference for the (TWG)/Signing (MOA)</t>
  </si>
  <si>
    <t>STA RITA SB-X04</t>
  </si>
  <si>
    <t>RO8-003</t>
  </si>
  <si>
    <t>San Isidro N.E</t>
  </si>
  <si>
    <t>RO8-004</t>
  </si>
  <si>
    <t xml:space="preserve">SAN FERNANDO NB-X03 </t>
  </si>
  <si>
    <t>RO8-005</t>
  </si>
  <si>
    <t>Cabanatuan N.E/RO3</t>
  </si>
  <si>
    <t>PESO Orientation</t>
  </si>
  <si>
    <t>RO8-006</t>
  </si>
  <si>
    <t>RO8-007</t>
  </si>
  <si>
    <t>Sto. Domingo NE/RO3</t>
  </si>
  <si>
    <t>GIP Visitation and Monitoring</t>
  </si>
  <si>
    <t>RO8-008</t>
  </si>
  <si>
    <t>REFUND TOLL PASSAGE</t>
  </si>
  <si>
    <t>CSFP</t>
  </si>
  <si>
    <t>RO8-009</t>
  </si>
  <si>
    <t>San fernando/Smart Connector/Guiginto/Tarlac</t>
  </si>
  <si>
    <t>Justine Hidalgo/Rodney Hildalgo</t>
  </si>
  <si>
    <t>Binondo Manila</t>
  </si>
  <si>
    <t>IMSD003</t>
  </si>
  <si>
    <t>Pick-up DILP Items</t>
  </si>
  <si>
    <t>RO8-010</t>
  </si>
  <si>
    <t>San Fernando/Clark South</t>
  </si>
  <si>
    <t>DEMIE UNCAD, JESSICA PANOPIO</t>
  </si>
  <si>
    <t>WIDUS CLARK Pampanga</t>
  </si>
  <si>
    <t>MYPA DOLE</t>
  </si>
  <si>
    <t>RO8-011</t>
  </si>
  <si>
    <t>Clark North/Tarlac/Mexico</t>
  </si>
  <si>
    <t>MYPA DOLE/Docs for Signature</t>
  </si>
  <si>
    <t>RO8-012</t>
  </si>
  <si>
    <t xml:space="preserve">San Fernando /Tarlac/San Fernando </t>
  </si>
  <si>
    <t>RO8-013</t>
  </si>
  <si>
    <t>Royce Clark Pampanga</t>
  </si>
  <si>
    <t>MYPA PESO</t>
  </si>
  <si>
    <t>RO8-014</t>
  </si>
  <si>
    <t>Mexico/Tarlac/Clark North</t>
  </si>
  <si>
    <t>Royce Clark Pampanga/NEFO</t>
  </si>
  <si>
    <t>PASAY CITY</t>
  </si>
  <si>
    <t>MYPA PESO/Deliver PPE</t>
  </si>
  <si>
    <t>RO8-015</t>
  </si>
  <si>
    <t>Clark South/San Fernando</t>
  </si>
  <si>
    <t>MYPA PESO/RO3 Duty</t>
  </si>
  <si>
    <t>RO-001</t>
  </si>
  <si>
    <t>RO-002</t>
  </si>
  <si>
    <t>Palyan City NE</t>
  </si>
  <si>
    <t>PREPARATION FOR SPORTSFEST 2026</t>
  </si>
  <si>
    <t>130th Unang Sigaw/Job Fair/SM Set-up Materials</t>
  </si>
  <si>
    <t>RO-003</t>
  </si>
  <si>
    <t>Cabanatuan NE/RO3</t>
  </si>
  <si>
    <t>Child Labor Awarding/DILP Awarding</t>
  </si>
  <si>
    <t>RO-004</t>
  </si>
  <si>
    <t xml:space="preserve">Del Monte SB Alpha-X01 </t>
  </si>
  <si>
    <t>RO-005</t>
  </si>
  <si>
    <t>RO-006</t>
  </si>
  <si>
    <t>San Isidro N.E/RO3</t>
  </si>
  <si>
    <t>DILP Awarding</t>
  </si>
  <si>
    <t xml:space="preserve">Buendia SB Exit-X02 </t>
  </si>
  <si>
    <t>RO-007</t>
  </si>
  <si>
    <t>RO-008</t>
  </si>
  <si>
    <t>Talavera NE</t>
  </si>
  <si>
    <t>Handog ng Pangulo Job Fair</t>
  </si>
  <si>
    <t>RO-009</t>
  </si>
  <si>
    <t xml:space="preserve">BALINTAWAK-N11 </t>
  </si>
  <si>
    <t>RO-010</t>
  </si>
  <si>
    <t>Toll/Reload 500</t>
  </si>
  <si>
    <t>Exigency of Service/Endorsed Docs</t>
  </si>
  <si>
    <t>RO-011</t>
  </si>
  <si>
    <t>RO-012</t>
  </si>
  <si>
    <t>Bongabon NE/TAV</t>
  </si>
  <si>
    <t>RO-013</t>
  </si>
  <si>
    <t>Cabanatuan NE/peso meeting</t>
  </si>
  <si>
    <t>RO-014</t>
  </si>
  <si>
    <t>Cabanatuan NE/Canvass Materials</t>
  </si>
  <si>
    <t>RO-015</t>
  </si>
  <si>
    <t>Cabanatuan NE/RO</t>
  </si>
  <si>
    <t>Monthly Peso Meeting</t>
  </si>
  <si>
    <t>RO-016</t>
  </si>
  <si>
    <t>San Fernando/Sta Rita/San Fernando</t>
  </si>
  <si>
    <t>Plaridel,Bulacan</t>
  </si>
  <si>
    <t>TOYOTA Plaridel/PMS Service</t>
  </si>
  <si>
    <t>Buendia SB Exit-X02</t>
  </si>
  <si>
    <t>RO-017</t>
  </si>
  <si>
    <t>RO-018</t>
  </si>
  <si>
    <t>Sta Rosa NE</t>
  </si>
  <si>
    <t>RO-019</t>
  </si>
  <si>
    <t>Toll/Reload 1000</t>
  </si>
  <si>
    <t>WIDUS CLARK Pampanga/RO3</t>
  </si>
  <si>
    <t>Kabuhayan Award</t>
  </si>
  <si>
    <t>RO-020</t>
  </si>
  <si>
    <t>RO3 Pampanga</t>
  </si>
  <si>
    <t>Service Sticker</t>
  </si>
  <si>
    <t>IMSD004</t>
  </si>
  <si>
    <t>DOLE HRDS STAFF</t>
  </si>
  <si>
    <t>INTRAMUROS MANILA</t>
  </si>
  <si>
    <t>TO FERRY DOLE LEO3 AND LEO 2 EXAMINATION PROCTOR</t>
  </si>
  <si>
    <t>IMSD005</t>
  </si>
  <si>
    <t>DINALUPIHAN-X02</t>
  </si>
  <si>
    <t>CONCEPCION-X01</t>
  </si>
  <si>
    <t>l BOCAUE BARRIER CS-X05</t>
  </si>
  <si>
    <t>Del Monte SB Alpha-X01</t>
  </si>
  <si>
    <t>SAN SIMON NB-X02</t>
  </si>
  <si>
    <t>IPO-X06</t>
  </si>
  <si>
    <t>Quirino SB Exit -X03</t>
  </si>
  <si>
    <t>TOYOTA HIACE COMMUTER WHITE WITH PLATE No. SCD 2796</t>
  </si>
  <si>
    <t>BALINTAWAK-N10</t>
  </si>
  <si>
    <t>San Fernando/Victoria</t>
  </si>
  <si>
    <t>Jason P. Ocampo</t>
  </si>
  <si>
    <t>Victoria, Tarlac</t>
  </si>
  <si>
    <t>SPES Orientation</t>
  </si>
  <si>
    <t>San Fernando/Capas</t>
  </si>
  <si>
    <t>Capas, Tarlac</t>
  </si>
  <si>
    <t>Dry run for The araw ng Kasambahay 2026</t>
  </si>
  <si>
    <t>CHRISTIAN HIPOLITO</t>
  </si>
  <si>
    <t>Araw ng kasambahay 2026</t>
  </si>
  <si>
    <t>Rosario Toll Plaza-X04</t>
  </si>
  <si>
    <t>TARLAC FIELD OFFICE</t>
  </si>
  <si>
    <t>Tarlac Central Toll Plaza-X05</t>
  </si>
  <si>
    <t>Jason P. Ocampo/Lourdes Solomon/Jumel Vitao/Ronnie Pablo</t>
  </si>
  <si>
    <t>Mayantoc/San Clemente/Camiling, Tarlac</t>
  </si>
  <si>
    <t>Courtesy Visit</t>
  </si>
  <si>
    <t>San Fernando/Paniqui</t>
  </si>
  <si>
    <t>Paniqui, Tarlac</t>
  </si>
  <si>
    <t>Basketball and Volleyball Practice</t>
  </si>
  <si>
    <t>San Fernando</t>
  </si>
  <si>
    <t>Bren Z. Guiao</t>
  </si>
  <si>
    <t>Practice for Street Dance</t>
  </si>
  <si>
    <t>PMS 5000 KMs</t>
  </si>
  <si>
    <t>Opening Ceremony DOLE Sports Fest</t>
  </si>
  <si>
    <t>PMS 10000 KMs</t>
  </si>
  <si>
    <t>Tarlac F.O./San Manuel/Moncada/Ramos</t>
  </si>
  <si>
    <t>Courtesy visit and Job fair</t>
  </si>
  <si>
    <t>PMS 15000 KMs</t>
  </si>
  <si>
    <t>San Fernando/Clark</t>
  </si>
  <si>
    <t>Royce Hotel Clark</t>
  </si>
  <si>
    <t>Peso-Yepa Activity</t>
  </si>
  <si>
    <t>DOLE RO3 Sports Fest</t>
  </si>
  <si>
    <t>BOCAUE BARRIER CS-X0</t>
  </si>
  <si>
    <t>RO3-025</t>
  </si>
  <si>
    <t>ManComm</t>
  </si>
  <si>
    <t>RO3-026/27</t>
  </si>
  <si>
    <t>Danilo Galang JR</t>
  </si>
  <si>
    <t>Tarlac F.O.</t>
  </si>
  <si>
    <t>Pick up items and Contestant for DOLE RO3 Sports Fest</t>
  </si>
  <si>
    <t>RO3-028</t>
  </si>
  <si>
    <t>RO3-029/31</t>
  </si>
  <si>
    <t>Pick up office items</t>
  </si>
  <si>
    <t>RO3-032/33</t>
  </si>
  <si>
    <t>Tarlac F.O./Provincial Capitol</t>
  </si>
  <si>
    <t>Exigency of Service/Job fair</t>
  </si>
  <si>
    <t>RO3-034</t>
  </si>
  <si>
    <t>RO3-035/36</t>
  </si>
  <si>
    <t>Jason P. Ocampo/Lencel Mariano/Kimberly Alimurong/Marjorie Cruz</t>
  </si>
  <si>
    <t>Exigency of Service and Distribute TAV invitations</t>
  </si>
  <si>
    <t>SAN FERNANDO NB-X05 N</t>
  </si>
  <si>
    <t>RO3-037</t>
  </si>
  <si>
    <t>SENA Consultation</t>
  </si>
  <si>
    <t>RO3-038/39</t>
  </si>
  <si>
    <t>TOYOTA HIACE COMMUTER WHITE SCD-2801</t>
  </si>
  <si>
    <t>TOYOTA HIACE COMMUTER</t>
  </si>
  <si>
    <t>RO3-040</t>
  </si>
  <si>
    <t>RO3-016</t>
  </si>
  <si>
    <t>RO3-017/18</t>
  </si>
  <si>
    <t>Tarlac F.O./Tarlac City Gymnatorium</t>
  </si>
  <si>
    <t>Exigency of Service/Deped Tarlac Job Fair</t>
  </si>
  <si>
    <t>RO3-019/20</t>
  </si>
  <si>
    <t>Tarlac F.O./TSU</t>
  </si>
  <si>
    <t>Exigency of Service/MOA Signing</t>
  </si>
  <si>
    <t>MAYLENE L. EVANGELISTA</t>
  </si>
  <si>
    <t>BALANGA FO</t>
  </si>
  <si>
    <t>San Fernando/Tarlac/RO3</t>
  </si>
  <si>
    <t>RO3-041/43</t>
  </si>
  <si>
    <t>Jason P. Ocampo/Krisha Mae Calague/Vincent Ursabia/Danilo Galang</t>
  </si>
  <si>
    <t>Tarlac F.O./RO3/Magic Star Mall</t>
  </si>
  <si>
    <t>Exigency of Service/Deliver and prepare Items for Women's month</t>
  </si>
  <si>
    <t>PULILAN SB-X02</t>
  </si>
  <si>
    <t>RO3-044</t>
  </si>
  <si>
    <t>RO3-045/46</t>
  </si>
  <si>
    <t>Tarlac F.O./Tessie's Grill</t>
  </si>
  <si>
    <t>Exigency of Service/TIPCT Meeting</t>
  </si>
  <si>
    <t>San Fernando/Plaridel</t>
  </si>
  <si>
    <t>RO3-047</t>
  </si>
  <si>
    <t>CLARK /CSFP</t>
  </si>
  <si>
    <t>PMS</t>
  </si>
  <si>
    <t>BATAAN FIELD OFFICE</t>
  </si>
  <si>
    <t>RO3-048/49</t>
  </si>
  <si>
    <t xml:space="preserve">ABUCAY, BATAAN </t>
  </si>
  <si>
    <t>Tarlac F.O./Philippine Rabbit</t>
  </si>
  <si>
    <t>Exigency of service and Inspection</t>
  </si>
  <si>
    <t xml:space="preserve">BALANGA, BATAAN </t>
  </si>
  <si>
    <t>RO3-050</t>
  </si>
  <si>
    <t>DOLE RO3 CLEU Anniversary</t>
  </si>
  <si>
    <t>RO4-001</t>
  </si>
  <si>
    <t>Philippine Rabbit Tarlac City</t>
  </si>
  <si>
    <t>Site Visit for High Impact, High Visibility</t>
  </si>
  <si>
    <t>RO4-002</t>
  </si>
  <si>
    <t>RO4-003</t>
  </si>
  <si>
    <t>PMS 1,287 KM</t>
  </si>
  <si>
    <t xml:space="preserve">BALANGA BATAAN </t>
  </si>
  <si>
    <t>RO4-004</t>
  </si>
  <si>
    <t>Endorse pertinent Docs and Pick-up Tupad PPE's</t>
  </si>
  <si>
    <t>PMS 5,610 KM</t>
  </si>
  <si>
    <t>SAN FERNANDO NB-X04 N</t>
  </si>
  <si>
    <t>RO4-005</t>
  </si>
  <si>
    <t>Qualifying Exam for Chief LEO</t>
  </si>
  <si>
    <t>d API Bayad Center BranchID: 8208</t>
  </si>
  <si>
    <t xml:space="preserve">CLARK </t>
  </si>
  <si>
    <t>PMS 10,071 KM</t>
  </si>
  <si>
    <t>RO4-006</t>
  </si>
  <si>
    <t xml:space="preserve">MARIVELES, BATAAN </t>
  </si>
  <si>
    <t>RO4-007</t>
  </si>
  <si>
    <t>PMS 16,140 KM</t>
  </si>
  <si>
    <t>Awarding Livelihood Grant</t>
  </si>
  <si>
    <t xml:space="preserve">CSFP </t>
  </si>
  <si>
    <t>Del Monte NB Bravo-X06</t>
  </si>
  <si>
    <t>RO4-008</t>
  </si>
  <si>
    <t xml:space="preserve">CLARK /PLARIDEL </t>
  </si>
  <si>
    <t>RO4-009</t>
  </si>
  <si>
    <t xml:space="preserve">ANGELES /DINALUPIHAN </t>
  </si>
  <si>
    <t>Meeting With RD</t>
  </si>
  <si>
    <t>RO4-010</t>
  </si>
  <si>
    <t>Tarlac Plazuela Convention Hall</t>
  </si>
  <si>
    <t>Job Fair</t>
  </si>
  <si>
    <t>API Fastek Terminal BranchID: 212</t>
  </si>
  <si>
    <t xml:space="preserve">HERMOSA, BATAAN </t>
  </si>
  <si>
    <t>RO4-011</t>
  </si>
  <si>
    <t>RO4-012</t>
  </si>
  <si>
    <t>NAIA Main A-X04</t>
  </si>
  <si>
    <t>Waltermart, Paniqui</t>
  </si>
  <si>
    <t>District 1 Elimination round for Talentadong Manggagawa</t>
  </si>
  <si>
    <t>RO4-013</t>
  </si>
  <si>
    <t>RO4-014</t>
  </si>
  <si>
    <t>RO4-015</t>
  </si>
  <si>
    <t>Magic Star Mall</t>
  </si>
  <si>
    <t>District 2 Elimination round for Talentadong Manggagawa</t>
  </si>
  <si>
    <t xml:space="preserve">MARIVELES BATAAN </t>
  </si>
  <si>
    <t>RO4-016</t>
  </si>
  <si>
    <t>Waltermart, Concepcion</t>
  </si>
  <si>
    <t>District 3 Elimination round for Talentadong Manggagawa</t>
  </si>
  <si>
    <t>RO4-017</t>
  </si>
  <si>
    <t>RO4-018</t>
  </si>
  <si>
    <t>CPF, Gerona</t>
  </si>
  <si>
    <t>Documentation for talentadong manggagawa</t>
  </si>
  <si>
    <t>RO4-019</t>
  </si>
  <si>
    <t>Moncada Polythechnique College</t>
  </si>
  <si>
    <t>Awarding of DILP</t>
  </si>
  <si>
    <t>RO4-020</t>
  </si>
  <si>
    <t>RO4-021</t>
  </si>
  <si>
    <t>Luisita, Tarlac</t>
  </si>
  <si>
    <t>Signing of zero accident pledge</t>
  </si>
  <si>
    <t>Sto Tomas SBX Plaza-X02</t>
  </si>
  <si>
    <t xml:space="preserve">DINALUPIHAN BATAAN </t>
  </si>
  <si>
    <t>RO4-022</t>
  </si>
  <si>
    <t>Skyway Main Toll Plaza B-X03</t>
  </si>
  <si>
    <t>RO4-023</t>
  </si>
  <si>
    <t>RO4-024</t>
  </si>
  <si>
    <t>Practice for Search for talentadong manggagawa</t>
  </si>
  <si>
    <t>J09-004</t>
  </si>
  <si>
    <t xml:space="preserve">LIMAY BATAAN </t>
  </si>
  <si>
    <t>RO4-025</t>
  </si>
  <si>
    <t>Conduct 2026 Search for talentadong manggagawa</t>
  </si>
  <si>
    <t>J09-005</t>
  </si>
  <si>
    <t>RO5-001</t>
  </si>
  <si>
    <t>Tarlac City Convention Hall</t>
  </si>
  <si>
    <t>Tupad &amp; SPES Payout/Job Fair</t>
  </si>
  <si>
    <t>J0-006</t>
  </si>
  <si>
    <t>RO5-002</t>
  </si>
  <si>
    <t>Capas Event Center</t>
  </si>
  <si>
    <t>SPES Orientation &amp; MOA Signing</t>
  </si>
  <si>
    <t>RO5-003</t>
  </si>
  <si>
    <t>PLARIDEL BULACAN</t>
  </si>
  <si>
    <t>Sta. Ignacia Municipal Hall</t>
  </si>
  <si>
    <t>Tupad Orientation &amp; Contract Signing</t>
  </si>
  <si>
    <t>RO5-004</t>
  </si>
  <si>
    <t>Camiling Sports Complex</t>
  </si>
  <si>
    <t>J09-008</t>
  </si>
  <si>
    <t>RO5-005</t>
  </si>
  <si>
    <t xml:space="preserve">SAMAL BATAAN </t>
  </si>
  <si>
    <t>BOCAUE BARRIER CS-X12 N</t>
  </si>
  <si>
    <t>MORONG BATAAN</t>
  </si>
  <si>
    <t>RO5-006</t>
  </si>
  <si>
    <t>RO5-007</t>
  </si>
  <si>
    <t>TABANG-X06</t>
  </si>
  <si>
    <t>Paniqui Municipal Hall</t>
  </si>
  <si>
    <t>RO5-008</t>
  </si>
  <si>
    <t>J09-10</t>
  </si>
  <si>
    <t>RO5-009</t>
  </si>
  <si>
    <t>RO5-010</t>
  </si>
  <si>
    <t>ISUZU TRAVIS SCA 1174</t>
  </si>
  <si>
    <t>Interview for GIP and LEO</t>
  </si>
  <si>
    <t>RO5-011</t>
  </si>
  <si>
    <t>ISUZU TRAVIS</t>
  </si>
  <si>
    <t>J09-011</t>
  </si>
  <si>
    <t>Implementation of DOLE AMP</t>
  </si>
  <si>
    <t xml:space="preserve">HERMOSA BATAAN </t>
  </si>
  <si>
    <t>RO5-012</t>
  </si>
  <si>
    <t>JO9-014</t>
  </si>
  <si>
    <t>J09-13</t>
  </si>
  <si>
    <t>Baras-Baras Tarlac City</t>
  </si>
  <si>
    <t>RELOAD</t>
  </si>
  <si>
    <t>Widus Hotel Clark</t>
  </si>
  <si>
    <t>Orientation for Reactivation of JPO</t>
  </si>
  <si>
    <t>San Jose Municipal Hall</t>
  </si>
  <si>
    <t>San Vicente, Bamban, Tarlac</t>
  </si>
  <si>
    <t>Tupad Payout</t>
  </si>
  <si>
    <t>Diwa ng Tarlac, Tarlac City</t>
  </si>
  <si>
    <t>BJMP Camiling, Tarlac</t>
  </si>
  <si>
    <t>Capas Municipal Hall</t>
  </si>
  <si>
    <t>Grant DILP</t>
  </si>
  <si>
    <t>Manga, Capas, Tarlac</t>
  </si>
  <si>
    <t>Award DOLE AMP</t>
  </si>
  <si>
    <t>DCT, Capas, Tarlac</t>
  </si>
  <si>
    <t>Meeting for Establishment of JPO</t>
  </si>
  <si>
    <t>PESOMAT</t>
  </si>
  <si>
    <t>Bella Plaza, Tarlac City</t>
  </si>
  <si>
    <t>TIPCT Meeting</t>
  </si>
  <si>
    <t>Mae Anne Talino/Mark Dekendek</t>
  </si>
  <si>
    <t>Deliver AMP Supplies</t>
  </si>
  <si>
    <t>Tupad Contract Signing</t>
  </si>
  <si>
    <t>Anao Municipal Hall</t>
  </si>
  <si>
    <t>Award DOLE DILP</t>
  </si>
  <si>
    <t>San Fernando/Orani, Bataan</t>
  </si>
  <si>
    <t>Magarra Hotel Orani, Bataan</t>
  </si>
  <si>
    <t>Occular Inspection &amp; Assessment</t>
  </si>
  <si>
    <t>BJMP Tarlac City</t>
  </si>
  <si>
    <t>Tarlac City Convention</t>
  </si>
  <si>
    <t>BIZCONNECT</t>
  </si>
  <si>
    <t>Burot, Tarlac City</t>
  </si>
  <si>
    <t>Tuloy Pasada</t>
  </si>
  <si>
    <t>Moncada Municipal Hall</t>
  </si>
  <si>
    <t>San Vicente, Concepcion, Tarlac</t>
  </si>
  <si>
    <t>Courtesy Call</t>
  </si>
  <si>
    <t>MOA Signing/Award DILP</t>
  </si>
  <si>
    <t>PESO CAP-DEV</t>
  </si>
  <si>
    <t>Daldalayap, San Clemente, Tarlac</t>
  </si>
  <si>
    <t>Meeting with cooperative</t>
  </si>
  <si>
    <t>San Manuel Municipal Hall</t>
  </si>
  <si>
    <t>Award DILP</t>
  </si>
  <si>
    <t>MYPA RO3</t>
  </si>
  <si>
    <t>RO3 PESO MYPA</t>
  </si>
  <si>
    <t>Ceremonial RD Turn Over/MannComm</t>
  </si>
  <si>
    <t>Tarlac Convention Hall</t>
  </si>
  <si>
    <t>Job Fair/Tupad Payout</t>
  </si>
  <si>
    <t>Concepcion Municipal Hall</t>
  </si>
  <si>
    <t>Tupad Orientation</t>
  </si>
  <si>
    <t>SPES Payout</t>
  </si>
  <si>
    <t>Gerona Municipal Hall</t>
  </si>
  <si>
    <t>PESOMAT Meeting</t>
  </si>
  <si>
    <t>WIDUS Hotel Clark Pampanga</t>
  </si>
  <si>
    <t>2026 Kabuhayan Awards</t>
  </si>
  <si>
    <t>MITSUBISHI L300 FB SJJ-476</t>
  </si>
  <si>
    <t>MITSUBISHI L300 FB</t>
  </si>
  <si>
    <t xml:space="preserve">ROGELIO VITUG </t>
  </si>
  <si>
    <t>ISUZU CROSSWIND MAROON SKY-715</t>
  </si>
  <si>
    <t>MAROON</t>
  </si>
  <si>
    <t>ISUZU CROSSWIND BLUE SKY-725</t>
  </si>
  <si>
    <t>ALVYN ATIENZA</t>
  </si>
  <si>
    <t>ISUZU CROSSWIND SILVER SAA-3316</t>
  </si>
  <si>
    <t>SJB 476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</si>
</sst>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7">
    <numFmt numFmtId="164" formatCode="d&quot;-&quot;mmm&quot;-&quot;yyyy"/>
    <numFmt numFmtId="165" formatCode="d-mmm-yyyy"/>
    <numFmt numFmtId="166" formatCode="0.0"/>
    <numFmt numFmtId="167" formatCode="dd-mmm-yyyy"/>
    <numFmt numFmtId="168" formatCode="yyyy-mm-dd"/>
    <numFmt numFmtId="169" formatCode="[$₱]#,##0.00"/>
    <numFmt numFmtId="170" formatCode="dd-mmmm-yyyy"/>
    <numFmt numFmtId="171" formatCode="d-mmmm-yyyy"/>
    <numFmt numFmtId="172" formatCode="d-mmm yy"/>
    <numFmt numFmtId="173" formatCode="d-mmmyyyy"/>
    <numFmt numFmtId="174" formatCode="dmmm"/>
    <numFmt numFmtId="175" formatCode="ddmmm"/>
    <numFmt numFmtId="176" formatCode="m-d-yy"/>
    <numFmt numFmtId="177" formatCode="mm-dd-yy"/>
    <numFmt numFmtId="178" formatCode="m/d/yy"/>
    <numFmt numFmtId="179" formatCode="ddmmmm"/>
    <numFmt numFmtId="180" formatCode="dmmmm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0"/>
      <name val="Arial"/>
      <scheme val="minor"/>
    </font>
    <font>
      <b/>
      <sz val="11.0"/>
      <color rgb="FF000000"/>
      <name val="Calibri"/>
    </font>
    <font>
      <b/>
      <color rgb="FFFFFFFF"/>
      <name val="Arial"/>
      <scheme val="minor"/>
    </font>
    <font>
      <sz val="11.0"/>
      <color rgb="FF000000"/>
      <name val="Calibri"/>
    </font>
    <font>
      <b/>
      <sz val="11.0"/>
      <color rgb="FFFFFFFF"/>
      <name val="Calibri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/>
    <font>
      <sz val="10.0"/>
      <color theme="1"/>
      <name val="Arial"/>
      <scheme val="minor"/>
    </font>
    <font>
      <sz val="12.0"/>
      <color theme="1"/>
      <name val="Calibri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CC0000"/>
        <bgColor rgb="FFCC0000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readingOrder="0"/>
    </xf>
    <xf borderId="0" fillId="3" fontId="4" numFmtId="0" xfId="0" applyAlignment="1" applyFill="1" applyFont="1">
      <alignment readingOrder="0" shrinkToFit="0" vertical="bottom" wrapText="0"/>
    </xf>
    <xf borderId="0" fillId="4" fontId="5" numFmtId="0" xfId="0" applyAlignment="1" applyFill="1" applyFont="1">
      <alignment readingOrder="0"/>
    </xf>
    <xf borderId="1" fillId="2" fontId="5" numFmtId="0" xfId="0" applyAlignment="1" applyBorder="1" applyFill="1" applyFont="1">
      <alignment readingOrder="0"/>
    </xf>
    <xf borderId="0" fillId="4" fontId="5" numFmtId="0" xfId="0" applyFill="1" applyFont="1"/>
    <xf borderId="0" fillId="2" fontId="5" numFmtId="0" xfId="0" applyAlignment="1" applyFill="1" applyFont="1">
      <alignment horizontal="left" readingOrder="0"/>
    </xf>
    <xf borderId="0" fillId="3" fontId="6" numFmtId="164" xfId="0" applyAlignment="1" applyFill="1" applyFont="1" applyNumberFormat="1">
      <alignment readingOrder="0" shrinkToFit="0" vertical="bottom" wrapText="0"/>
    </xf>
    <xf borderId="0" fillId="2" fontId="5" numFmtId="0" xfId="0" applyAlignment="1" applyFill="1" applyFont="1">
      <alignment readingOrder="0"/>
    </xf>
    <xf borderId="1" fillId="2" fontId="5" numFmtId="0" xfId="0" applyAlignment="1" applyBorder="1" applyFill="1" applyFont="1">
      <alignment horizontal="left"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1" fillId="5" fontId="7" numFmtId="0" xfId="0" applyAlignment="1" applyBorder="1" applyFill="1" applyFont="1">
      <alignment readingOrder="0" shrinkToFit="0" vertical="bottom" wrapText="0"/>
    </xf>
    <xf borderId="1" fillId="0" fontId="1" numFmtId="164" xfId="0" applyBorder="1" applyFont="1" applyNumberFormat="1"/>
    <xf borderId="0" fillId="0" fontId="1" numFmtId="164" xfId="0" applyAlignment="1" applyFont="1" applyNumberFormat="1">
      <alignment readingOrder="0"/>
    </xf>
    <xf borderId="1" fillId="0" fontId="6" numFmtId="0" xfId="0" applyAlignment="1" applyBorder="1" applyFont="1">
      <alignment horizontal="right" readingOrder="0" shrinkToFit="0" vertical="bottom" wrapText="0"/>
    </xf>
    <xf borderId="1" fillId="0" fontId="1" numFmtId="164" xfId="0" applyAlignment="1" applyBorder="1" applyFont="1" applyNumberFormat="1">
      <alignment horizontal="left" readingOrder="0"/>
    </xf>
    <xf borderId="1" fillId="0" fontId="1" numFmtId="4" xfId="0" applyAlignment="1" applyBorder="1" applyFont="1" applyNumberFormat="1">
      <alignment readingOrder="0"/>
    </xf>
    <xf borderId="1" fillId="0" fontId="6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left" readingOrder="0"/>
    </xf>
    <xf borderId="1" fillId="0" fontId="8" numFmtId="0" xfId="0" applyAlignment="1" applyBorder="1" applyFont="1">
      <alignment readingOrder="0" shrinkToFit="0" vertical="bottom" wrapText="0"/>
    </xf>
    <xf borderId="1" fillId="0" fontId="1" numFmtId="4" xfId="0" applyAlignment="1" applyBorder="1" applyFont="1" applyNumberFormat="1">
      <alignment horizontal="left" readingOrder="0"/>
    </xf>
    <xf borderId="0" fillId="0" fontId="1" numFmtId="165" xfId="0" applyAlignment="1" applyFont="1" applyNumberFormat="1">
      <alignment readingOrder="0"/>
    </xf>
    <xf borderId="1" fillId="0" fontId="1" numFmtId="165" xfId="0" applyAlignment="1" applyBorder="1" applyFont="1" applyNumberFormat="1">
      <alignment readingOrder="0"/>
    </xf>
    <xf borderId="1" fillId="0" fontId="1" numFmtId="166" xfId="0" applyAlignment="1" applyBorder="1" applyFont="1" applyNumberFormat="1">
      <alignment readingOrder="0"/>
    </xf>
    <xf borderId="1" fillId="0" fontId="9" numFmtId="0" xfId="0" applyAlignment="1" applyBorder="1" applyFont="1">
      <alignment readingOrder="0" shrinkToFit="0" vertical="bottom" wrapText="0"/>
    </xf>
    <xf borderId="1" fillId="0" fontId="6" numFmtId="164" xfId="0" applyAlignment="1" applyBorder="1" applyFont="1" applyNumberFormat="1">
      <alignment readingOrder="0" shrinkToFit="0" vertical="bottom" wrapText="0"/>
    </xf>
    <xf borderId="1" fillId="6" fontId="6" numFmtId="0" xfId="0" applyAlignment="1" applyBorder="1" applyFill="1" applyFont="1">
      <alignment horizontal="right" readingOrder="0" shrinkToFit="0" vertical="bottom" wrapText="0"/>
    </xf>
    <xf borderId="1" fillId="6" fontId="6" numFmtId="0" xfId="0" applyAlignment="1" applyBorder="1" applyFill="1" applyFont="1">
      <alignment readingOrder="0" shrinkToFit="0" vertical="bottom" wrapText="0"/>
    </xf>
    <xf borderId="1" fillId="6" fontId="8" numFmtId="0" xfId="0" applyAlignment="1" applyBorder="1" applyFill="1" applyFont="1">
      <alignment readingOrder="0" shrinkToFit="0" vertical="bottom" wrapText="0"/>
    </xf>
    <xf borderId="1" fillId="6" fontId="10" numFmtId="0" xfId="0" applyAlignment="1" applyBorder="1" applyFill="1" applyFont="1">
      <alignment readingOrder="0" shrinkToFit="0" vertical="bottom" wrapText="0"/>
    </xf>
    <xf borderId="2" fillId="0" fontId="1" numFmtId="166" xfId="0" applyAlignment="1" applyBorder="1" applyFont="1" applyNumberFormat="1">
      <alignment horizontal="center" readingOrder="0" shrinkToFit="0" wrapText="1"/>
    </xf>
    <xf borderId="2" fillId="0" fontId="1" numFmtId="166" xfId="0" applyAlignment="1" applyBorder="1" applyFont="1" applyNumberFormat="1">
      <alignment horizontal="left" readingOrder="0" shrinkToFit="0" wrapText="1"/>
    </xf>
    <xf borderId="1" fillId="6" fontId="6" numFmtId="164" xfId="0" applyAlignment="1" applyBorder="1" applyFill="1" applyFont="1" applyNumberFormat="1">
      <alignment readingOrder="0" shrinkToFit="0" vertical="bottom" wrapText="0"/>
    </xf>
    <xf borderId="3" fillId="0" fontId="11" numFmtId="0" xfId="0" applyBorder="1" applyFont="1"/>
    <xf borderId="1" fillId="0" fontId="1" numFmtId="0" xfId="0" applyAlignment="1" applyBorder="1" applyFont="1">
      <alignment readingOrder="0" shrinkToFit="0" wrapText="1"/>
    </xf>
    <xf borderId="1" fillId="0" fontId="1" numFmtId="4" xfId="0" applyBorder="1" applyFont="1" applyNumberFormat="1"/>
    <xf borderId="4" fillId="0" fontId="11" numFmtId="0" xfId="0" applyBorder="1" applyFont="1"/>
    <xf borderId="2" fillId="0" fontId="1" numFmtId="166" xfId="0" applyAlignment="1" applyBorder="1" applyFont="1" applyNumberFormat="1">
      <alignment readingOrder="0" shrinkToFit="0" wrapText="1"/>
    </xf>
    <xf borderId="1" fillId="0" fontId="6" numFmtId="0" xfId="0" applyAlignment="1" applyBorder="1" applyFont="1">
      <alignment shrinkToFit="0" vertical="bottom" wrapText="0"/>
    </xf>
    <xf borderId="2" fillId="0" fontId="1" numFmtId="166" xfId="0" applyAlignment="1" applyBorder="1" applyFont="1" applyNumberFormat="1">
      <alignment readingOrder="0"/>
    </xf>
    <xf borderId="1" fillId="0" fontId="12" numFmtId="164" xfId="0" applyAlignment="1" applyBorder="1" applyFont="1" applyNumberFormat="1">
      <alignment vertical="bottom"/>
    </xf>
    <xf borderId="1" fillId="0" fontId="12" numFmtId="0" xfId="0" applyAlignment="1" applyBorder="1" applyFont="1">
      <alignment readingOrder="0" vertical="bottom"/>
    </xf>
    <xf borderId="1" fillId="7" fontId="12" numFmtId="164" xfId="0" applyAlignment="1" applyBorder="1" applyFill="1" applyFont="1" applyNumberFormat="1">
      <alignment vertical="bottom"/>
    </xf>
    <xf borderId="1" fillId="0" fontId="1" numFmtId="166" xfId="0" applyAlignment="1" applyBorder="1" applyFont="1" applyNumberFormat="1">
      <alignment readingOrder="0" shrinkToFit="0" wrapText="1"/>
    </xf>
    <xf borderId="1" fillId="0" fontId="1" numFmtId="3" xfId="0" applyAlignment="1" applyBorder="1" applyFont="1" applyNumberFormat="1">
      <alignment readingOrder="0"/>
    </xf>
    <xf borderId="0" fillId="0" fontId="1" numFmtId="0" xfId="0" applyAlignment="1" applyFont="1">
      <alignment shrinkToFit="0" wrapText="1"/>
    </xf>
    <xf borderId="1" fillId="0" fontId="6" numFmtId="164" xfId="0" applyAlignment="1" applyBorder="1" applyFont="1" applyNumberFormat="1">
      <alignment shrinkToFit="0" vertical="bottom" wrapText="0"/>
    </xf>
    <xf borderId="1" fillId="0" fontId="1" numFmtId="167" xfId="0" applyAlignment="1" applyBorder="1" applyFont="1" applyNumberFormat="1">
      <alignment readingOrder="0"/>
    </xf>
    <xf borderId="1" fillId="0" fontId="12" numFmtId="0" xfId="0" applyAlignment="1" applyBorder="1" applyFont="1">
      <alignment vertical="bottom"/>
    </xf>
    <xf borderId="1" fillId="0" fontId="8" numFmtId="0" xfId="0" applyAlignment="1" applyBorder="1" applyFont="1">
      <alignment shrinkToFit="0" vertical="bottom" wrapText="1"/>
    </xf>
    <xf borderId="1" fillId="0" fontId="8" numFmtId="168" xfId="0" applyAlignment="1" applyBorder="1" applyFont="1" applyNumberFormat="1">
      <alignment horizontal="left" readingOrder="0" shrinkToFit="0" vertical="bottom" wrapText="0"/>
    </xf>
    <xf borderId="1" fillId="0" fontId="8" numFmtId="169" xfId="0" applyAlignment="1" applyBorder="1" applyFont="1" applyNumberFormat="1">
      <alignment horizontal="right" vertical="bottom"/>
    </xf>
    <xf borderId="1" fillId="0" fontId="8" numFmtId="49" xfId="0" applyAlignment="1" applyBorder="1" applyFont="1" applyNumberFormat="1">
      <alignment readingOrder="0" shrinkToFit="0" vertical="bottom" wrapText="0"/>
    </xf>
    <xf borderId="1" fillId="0" fontId="1" numFmtId="170" xfId="0" applyAlignment="1" applyBorder="1" applyFont="1" applyNumberFormat="1">
      <alignment readingOrder="0"/>
    </xf>
    <xf borderId="1" fillId="7" fontId="12" numFmtId="0" xfId="0" applyAlignment="1" applyBorder="1" applyFill="1" applyFont="1">
      <alignment vertical="bottom"/>
    </xf>
    <xf borderId="1" fillId="7" fontId="8" numFmtId="4" xfId="0" applyAlignment="1" applyBorder="1" applyFill="1" applyFont="1" applyNumberFormat="1">
      <alignment shrinkToFit="0" vertical="bottom" wrapText="1"/>
    </xf>
    <xf borderId="1" fillId="7" fontId="8" numFmtId="169" xfId="0" applyAlignment="1" applyBorder="1" applyFill="1" applyFont="1" applyNumberFormat="1">
      <alignment horizontal="right" vertical="bottom"/>
    </xf>
    <xf borderId="1" fillId="0" fontId="1" numFmtId="171" xfId="0" applyAlignment="1" applyBorder="1" applyFont="1" applyNumberFormat="1">
      <alignment readingOrder="0"/>
    </xf>
    <xf borderId="1" fillId="0" fontId="12" numFmtId="164" xfId="0" applyBorder="1" applyFont="1" applyNumberFormat="1"/>
    <xf borderId="1" fillId="0" fontId="1" numFmtId="0" xfId="0" applyAlignment="1" applyBorder="1" applyFont="1">
      <alignment horizontal="left" readingOrder="0" shrinkToFit="0" wrapText="1"/>
    </xf>
    <xf borderId="1" fillId="0" fontId="12" numFmtId="0" xfId="0" applyBorder="1" applyFont="1"/>
    <xf borderId="1" fillId="0" fontId="8" numFmtId="0" xfId="0" applyAlignment="1" applyBorder="1" applyFont="1">
      <alignment shrinkToFit="0" wrapText="1"/>
    </xf>
    <xf borderId="1" fillId="0" fontId="8" numFmtId="169" xfId="0" applyAlignment="1" applyBorder="1" applyFont="1" applyNumberFormat="1">
      <alignment horizontal="right"/>
    </xf>
    <xf borderId="1" fillId="0" fontId="13" numFmtId="169" xfId="0" applyAlignment="1" applyBorder="1" applyFont="1" applyNumberFormat="1">
      <alignment horizontal="right" vertical="bottom"/>
    </xf>
    <xf borderId="0" fillId="0" fontId="1" numFmtId="0" xfId="0" applyAlignment="1" applyFont="1">
      <alignment horizontal="left"/>
    </xf>
    <xf borderId="1" fillId="0" fontId="1" numFmtId="0" xfId="0" applyAlignment="1" applyBorder="1" applyFont="1">
      <alignment horizontal="left"/>
    </xf>
    <xf borderId="1" fillId="0" fontId="1" numFmtId="167" xfId="0" applyAlignment="1" applyBorder="1" applyFont="1" applyNumberFormat="1">
      <alignment horizontal="left" readingOrder="0"/>
    </xf>
    <xf borderId="1" fillId="0" fontId="1" numFmtId="172" xfId="0" applyAlignment="1" applyBorder="1" applyFont="1" applyNumberFormat="1">
      <alignment readingOrder="0"/>
    </xf>
    <xf borderId="1" fillId="0" fontId="1" numFmtId="173" xfId="0" applyAlignment="1" applyBorder="1" applyFont="1" applyNumberFormat="1">
      <alignment readingOrder="0"/>
    </xf>
    <xf borderId="1" fillId="7" fontId="1" numFmtId="0" xfId="0" applyAlignment="1" applyBorder="1" applyFill="1" applyFont="1">
      <alignment readingOrder="0"/>
    </xf>
    <xf borderId="1" fillId="0" fontId="1" numFmtId="4" xfId="0" applyAlignment="1" applyBorder="1" applyFont="1" applyNumberFormat="1">
      <alignment horizontal="left" readingOrder="0" shrinkToFit="0" wrapText="1"/>
    </xf>
    <xf borderId="1" fillId="0" fontId="1" numFmtId="166" xfId="0" applyAlignment="1" applyBorder="1" applyFont="1" applyNumberFormat="1">
      <alignment horizontal="left" readingOrder="0" shrinkToFit="0" wrapText="1"/>
    </xf>
    <xf borderId="1" fillId="0" fontId="1" numFmtId="4" xfId="0" applyAlignment="1" applyBorder="1" applyFont="1" applyNumberFormat="1">
      <alignment readingOrder="0" shrinkToFit="0" wrapText="1"/>
    </xf>
    <xf borderId="0" fillId="2" fontId="3" numFmtId="0" xfId="0" applyAlignment="1" applyFill="1" applyFont="1">
      <alignment readingOrder="0"/>
    </xf>
    <xf borderId="0" fillId="2" fontId="5" numFmtId="164" xfId="0" applyAlignment="1" applyFill="1" applyFont="1" applyNumberFormat="1">
      <alignment readingOrder="0"/>
    </xf>
    <xf borderId="0" fillId="2" fontId="5" numFmtId="4" xfId="0" applyAlignment="1" applyFill="1" applyFont="1" applyNumberFormat="1">
      <alignment readingOrder="0"/>
    </xf>
    <xf borderId="1" fillId="2" fontId="5" numFmtId="164" xfId="0" applyAlignment="1" applyBorder="1" applyFill="1" applyFont="1" applyNumberFormat="1">
      <alignment readingOrder="0"/>
    </xf>
    <xf borderId="1" fillId="2" fontId="5" numFmtId="4" xfId="0" applyAlignment="1" applyBorder="1" applyFill="1" applyFont="1" applyNumberFormat="1">
      <alignment readingOrder="0"/>
    </xf>
    <xf borderId="1" fillId="0" fontId="1" numFmtId="166" xfId="0" applyBorder="1" applyFont="1" applyNumberFormat="1"/>
    <xf borderId="2" fillId="0" fontId="1" numFmtId="4" xfId="0" applyAlignment="1" applyBorder="1" applyFont="1" applyNumberFormat="1">
      <alignment readingOrder="0" shrinkToFit="0" wrapText="1"/>
    </xf>
    <xf borderId="1" fillId="0" fontId="1" numFmtId="0" xfId="0" applyAlignment="1" applyBorder="1" applyFont="1">
      <alignment shrinkToFit="0" wrapText="1"/>
    </xf>
    <xf borderId="1" fillId="0" fontId="1" numFmtId="164" xfId="0" applyAlignment="1" applyBorder="1" applyFont="1" applyNumberFormat="1">
      <alignment readingOrder="0"/>
    </xf>
    <xf borderId="1" fillId="0" fontId="14" numFmtId="164" xfId="0" applyAlignment="1" applyBorder="1" applyFont="1" applyNumberFormat="1">
      <alignment horizontal="right" vertical="bottom"/>
    </xf>
    <xf borderId="1" fillId="0" fontId="14" numFmtId="164" xfId="0" applyAlignment="1" applyBorder="1" applyFont="1" applyNumberFormat="1">
      <alignment horizontal="right" readingOrder="0" vertical="bottom"/>
    </xf>
    <xf borderId="1" fillId="0" fontId="14" numFmtId="0" xfId="0" applyAlignment="1" applyBorder="1" applyFont="1">
      <alignment shrinkToFit="0" vertical="bottom" wrapText="1"/>
    </xf>
    <xf borderId="1" fillId="0" fontId="14" numFmtId="0" xfId="0" applyAlignment="1" applyBorder="1" applyFont="1">
      <alignment readingOrder="0" shrinkToFit="0" vertical="bottom" wrapText="1"/>
    </xf>
    <xf borderId="2" fillId="0" fontId="1" numFmtId="166" xfId="0" applyAlignment="1" applyBorder="1" applyFont="1" applyNumberFormat="1">
      <alignment horizontal="center" readingOrder="0"/>
    </xf>
    <xf borderId="1" fillId="0" fontId="14" numFmtId="166" xfId="0" applyAlignment="1" applyBorder="1" applyFont="1" applyNumberFormat="1">
      <alignment shrinkToFit="0" vertical="bottom" wrapText="1"/>
    </xf>
    <xf borderId="5" fillId="0" fontId="14" numFmtId="166" xfId="0" applyAlignment="1" applyBorder="1" applyFont="1" applyNumberFormat="1">
      <alignment shrinkToFit="0" vertical="bottom" wrapText="1"/>
    </xf>
    <xf borderId="5" fillId="0" fontId="14" numFmtId="166" xfId="0" applyAlignment="1" applyBorder="1" applyFont="1" applyNumberFormat="1">
      <alignment readingOrder="0" shrinkToFit="0" vertical="bottom" wrapText="1"/>
    </xf>
    <xf borderId="5" fillId="0" fontId="1" numFmtId="0" xfId="0" applyAlignment="1" applyBorder="1" applyFont="1">
      <alignment readingOrder="0" shrinkToFit="0" wrapText="1"/>
    </xf>
    <xf borderId="0" fillId="0" fontId="14" numFmtId="164" xfId="0" applyAlignment="1" applyFont="1" applyNumberFormat="1">
      <alignment horizontal="right" vertical="bottom"/>
    </xf>
    <xf borderId="2" fillId="0" fontId="1" numFmtId="4" xfId="0" applyAlignment="1" applyBorder="1" applyFont="1" applyNumberFormat="1">
      <alignment readingOrder="0"/>
    </xf>
    <xf borderId="1" fillId="0" fontId="1" numFmtId="174" xfId="0" applyAlignment="1" applyBorder="1" applyFont="1" applyNumberFormat="1">
      <alignment readingOrder="0"/>
    </xf>
    <xf borderId="1" fillId="0" fontId="1" numFmtId="175" xfId="0" applyAlignment="1" applyBorder="1" applyFont="1" applyNumberFormat="1">
      <alignment readingOrder="0"/>
    </xf>
    <xf borderId="2" fillId="0" fontId="14" numFmtId="4" xfId="0" applyAlignment="1" applyBorder="1" applyFont="1" applyNumberFormat="1">
      <alignment readingOrder="0" vertical="center"/>
    </xf>
    <xf borderId="2" fillId="0" fontId="14" numFmtId="4" xfId="0" applyAlignment="1" applyBorder="1" applyFont="1" applyNumberFormat="1">
      <alignment horizontal="center" vertical="center"/>
    </xf>
    <xf borderId="1" fillId="0" fontId="1" numFmtId="176" xfId="0" applyAlignment="1" applyBorder="1" applyFont="1" applyNumberFormat="1">
      <alignment readingOrder="0"/>
    </xf>
    <xf borderId="1" fillId="0" fontId="1" numFmtId="177" xfId="0" applyAlignment="1" applyBorder="1" applyFont="1" applyNumberFormat="1">
      <alignment readingOrder="0"/>
    </xf>
    <xf borderId="1" fillId="0" fontId="1" numFmtId="178" xfId="0" applyAlignment="1" applyBorder="1" applyFont="1" applyNumberFormat="1">
      <alignment readingOrder="0"/>
    </xf>
    <xf borderId="1" fillId="0" fontId="14" numFmtId="4" xfId="0" applyAlignment="1" applyBorder="1" applyFont="1" applyNumberFormat="1">
      <alignment vertical="bottom"/>
    </xf>
    <xf borderId="1" fillId="0" fontId="14" numFmtId="166" xfId="0" applyAlignment="1" applyBorder="1" applyFont="1" applyNumberFormat="1">
      <alignment vertical="bottom"/>
    </xf>
    <xf borderId="1" fillId="0" fontId="14" numFmtId="164" xfId="0" applyAlignment="1" applyBorder="1" applyFont="1" applyNumberFormat="1">
      <alignment horizontal="right" vertical="bottom"/>
    </xf>
    <xf borderId="1" fillId="0" fontId="14" numFmtId="0" xfId="0" applyAlignment="1" applyBorder="1" applyFont="1">
      <alignment vertical="bottom"/>
    </xf>
    <xf borderId="1" fillId="0" fontId="14" numFmtId="174" xfId="0" applyAlignment="1" applyBorder="1" applyFont="1" applyNumberFormat="1">
      <alignment horizontal="right" vertical="bottom"/>
    </xf>
    <xf borderId="1" fillId="0" fontId="14" numFmtId="0" xfId="0" applyAlignment="1" applyBorder="1" applyFont="1">
      <alignment horizontal="right" vertical="bottom"/>
    </xf>
    <xf borderId="0" fillId="0" fontId="14" numFmtId="0" xfId="0" applyAlignment="1" applyFont="1">
      <alignment vertical="bottom"/>
    </xf>
    <xf borderId="1" fillId="0" fontId="14" numFmtId="166" xfId="0" applyAlignment="1" applyBorder="1" applyFont="1" applyNumberFormat="1">
      <alignment readingOrder="0" vertical="bottom"/>
    </xf>
    <xf borderId="1" fillId="0" fontId="14" numFmtId="174" xfId="0" applyAlignment="1" applyBorder="1" applyFont="1" applyNumberFormat="1">
      <alignment horizontal="right" readingOrder="0" vertical="bottom"/>
    </xf>
    <xf borderId="1" fillId="0" fontId="14" numFmtId="0" xfId="0" applyAlignment="1" applyBorder="1" applyFont="1">
      <alignment horizontal="right" readingOrder="0" vertical="bottom"/>
    </xf>
    <xf borderId="1" fillId="0" fontId="14" numFmtId="164" xfId="0" applyAlignment="1" applyBorder="1" applyFont="1" applyNumberFormat="1">
      <alignment horizontal="right" readingOrder="0" vertical="bottom"/>
    </xf>
    <xf borderId="1" fillId="0" fontId="14" numFmtId="4" xfId="0" applyAlignment="1" applyBorder="1" applyFont="1" applyNumberFormat="1">
      <alignment readingOrder="0" vertical="bottom"/>
    </xf>
    <xf borderId="1" fillId="0" fontId="1" numFmtId="179" xfId="0" applyAlignment="1" applyBorder="1" applyFont="1" applyNumberFormat="1">
      <alignment readingOrder="0"/>
    </xf>
    <xf borderId="1" fillId="0" fontId="1" numFmtId="180" xfId="0" applyAlignment="1" applyBorder="1" applyFont="1" applyNumberFormat="1">
      <alignment readingOrder="0"/>
    </xf>
    <xf borderId="1" fillId="0" fontId="14" numFmtId="164" xfId="0" applyAlignment="1" applyBorder="1" applyFont="1" applyNumberFormat="1">
      <alignment readingOrder="0" vertical="bottom"/>
    </xf>
    <xf borderId="6" fillId="0" fontId="14" numFmtId="0" xfId="0" applyAlignment="1" applyBorder="1" applyFont="1">
      <alignment vertical="bottom"/>
    </xf>
    <xf borderId="6" fillId="0" fontId="14" numFmtId="4" xfId="0" applyAlignment="1" applyBorder="1" applyFont="1" applyNumberFormat="1">
      <alignment vertical="bottom"/>
    </xf>
    <xf borderId="6" fillId="0" fontId="14" numFmtId="166" xfId="0" applyAlignment="1" applyBorder="1" applyFont="1" applyNumberFormat="1">
      <alignment vertical="bottom"/>
    </xf>
    <xf borderId="4" fillId="0" fontId="14" numFmtId="164" xfId="0" applyAlignment="1" applyBorder="1" applyFont="1" applyNumberFormat="1">
      <alignment readingOrder="0" vertical="bottom"/>
    </xf>
    <xf borderId="7" fillId="0" fontId="14" numFmtId="0" xfId="0" applyAlignment="1" applyBorder="1" applyFont="1">
      <alignment vertical="bottom"/>
    </xf>
    <xf borderId="7" fillId="0" fontId="14" numFmtId="4" xfId="0" applyAlignment="1" applyBorder="1" applyFont="1" applyNumberFormat="1">
      <alignment vertical="bottom"/>
    </xf>
    <xf borderId="7" fillId="0" fontId="14" numFmtId="166" xfId="0" applyAlignment="1" applyBorder="1" applyFont="1" applyNumberFormat="1">
      <alignment vertical="bottom"/>
    </xf>
    <xf borderId="0" fillId="0" fontId="1" numFmtId="164" xfId="0" applyFont="1" applyNumberFormat="1"/>
    <xf borderId="0" fillId="0" fontId="1" numFmtId="4" xfId="0" applyFont="1" applyNumberFormat="1"/>
    <xf borderId="4" fillId="0" fontId="14" numFmtId="164" xfId="0" applyAlignment="1" applyBorder="1" applyFont="1" applyNumberFormat="1">
      <alignment vertical="bottom"/>
    </xf>
    <xf borderId="2" fillId="0" fontId="1" numFmtId="166" xfId="0" applyAlignment="1" applyBorder="1" applyFont="1" applyNumberFormat="1">
      <alignment readingOrder="0" vertical="center"/>
    </xf>
    <xf borderId="2" fillId="0" fontId="14" numFmtId="166" xfId="0" applyAlignment="1" applyBorder="1" applyFont="1" applyNumberFormat="1">
      <alignment vertical="center"/>
    </xf>
    <xf borderId="1" fillId="0" fontId="14" numFmtId="164" xfId="0" applyAlignment="1" applyBorder="1" applyFont="1" applyNumberFormat="1">
      <alignment vertical="bottom"/>
    </xf>
    <xf borderId="2" fillId="0" fontId="1" numFmtId="166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</dxfs>
  <tableStyles count="2">
    <tableStyle count="3" pivot="0" name="RO3-style">
      <tableStyleElement dxfId="1" type="headerRow"/>
      <tableStyleElement dxfId="2" type="firstRowStripe"/>
      <tableStyleElement dxfId="3" type="secondRowStripe"/>
    </tableStyle>
    <tableStyle count="3" pivot="0" name="RO3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N25" displayName="Table_1" name="Table_1" id="1">
  <tableColumns count="14">
    <tableColumn name="No." id="1"/>
    <tableColumn name="OFFICE" id="2"/>
    <tableColumn name="VEHICLE" id="3"/>
    <tableColumn name="COLOR" id="4"/>
    <tableColumn name="PN" id="5"/>
    <tableColumn name="EASYTRIP" id="6"/>
    <tableColumn name="USERNAME" id="7"/>
    <tableColumn name="PW" id="8"/>
    <tableColumn name="GSIS" id="9"/>
    <tableColumn name="LTO" id="10"/>
    <tableColumn name="Renew Date" id="11"/>
    <tableColumn name="PAR" id="12"/>
    <tableColumn name="DRIVER" id="13"/>
    <tableColumn name="REMARKS" id="14"/>
  </tableColumns>
  <tableStyleInfo name="RO3-style" showColumnStripes="0" showFirstColumn="1" showLastColumn="1" showRowStripes="1"/>
</table>
</file>

<file path=xl/tables/table2.xml><?xml version="1.0" encoding="utf-8"?>
<table xmlns="http://schemas.openxmlformats.org/spreadsheetml/2006/main" ref="A28:F54" displayName="Table_2" name="Table_2" id="2">
  <tableColumns count="6">
    <tableColumn name="No." id="1"/>
    <tableColumn name="DRIVER" id="2"/>
    <tableColumn name="LICENSE NUMBER" id="3"/>
    <tableColumn name="EXP.DATE" id="4"/>
    <tableColumn name="PLACE" id="5"/>
    <tableColumn name="MOBILE No." id="6"/>
  </tableColumns>
  <tableStyleInfo name="RO3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5" t="s">
        <v>8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15</v>
      </c>
      <c r="G2" s="7"/>
      <c r="H2" s="7"/>
      <c r="I2" s="7"/>
      <c r="J2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25.38"/>
    <col customWidth="1" min="3" max="3" width="29.75"/>
    <col customWidth="1" min="4" max="4" width="16.63"/>
    <col customWidth="1" min="6" max="6" width="14.88"/>
    <col customWidth="1" min="7" max="7" width="22.25"/>
    <col customWidth="1" min="8" max="8" width="20.25"/>
    <col customWidth="1" min="9" max="9" width="10.88"/>
    <col customWidth="1" min="10" max="10" width="13.75"/>
    <col customWidth="1" min="11" max="11" width="13.13"/>
    <col customWidth="1" min="12" max="12" width="25.63"/>
    <col customWidth="1" min="13" max="13" width="27.75"/>
    <col customWidth="1" min="14" max="14" width="14.5"/>
  </cols>
  <sheetData>
    <row r="1">
      <c r="A1" s="4" t="s">
        <v>4</v>
      </c>
      <c r="B1" s="4"/>
      <c r="C1" s="4"/>
      <c r="D1" s="4"/>
      <c r="E1" s="4"/>
      <c r="F1" s="4"/>
      <c r="G1" s="4"/>
      <c r="H1" s="4" t="s">
        <v>14</v>
      </c>
      <c r="I1" s="9">
        <v>46175.0</v>
      </c>
      <c r="J1" s="4"/>
      <c r="K1" s="4"/>
      <c r="L1" s="4"/>
      <c r="M1" s="4"/>
      <c r="N1" s="4"/>
    </row>
    <row r="2">
      <c r="A2" s="4" t="s">
        <v>18</v>
      </c>
      <c r="B2" s="4"/>
      <c r="C2" s="4"/>
      <c r="D2" s="4"/>
      <c r="E2" s="4"/>
      <c r="F2" s="4"/>
      <c r="G2" s="4"/>
      <c r="H2" s="4" t="s">
        <v>19</v>
      </c>
      <c r="I2" s="9">
        <v>46239.0</v>
      </c>
      <c r="J2" s="4"/>
      <c r="K2" s="4"/>
      <c r="L2" s="4"/>
      <c r="M2" s="4"/>
      <c r="N2" s="4"/>
    </row>
    <row r="3">
      <c r="A3" s="4" t="s">
        <v>20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14" t="s">
        <v>23</v>
      </c>
      <c r="B4" s="14" t="s">
        <v>26</v>
      </c>
      <c r="C4" s="14" t="s">
        <v>11</v>
      </c>
      <c r="D4" s="14" t="s">
        <v>29</v>
      </c>
      <c r="E4" s="14" t="s">
        <v>31</v>
      </c>
      <c r="F4" s="14" t="s">
        <v>32</v>
      </c>
      <c r="G4" s="14" t="s">
        <v>34</v>
      </c>
      <c r="H4" s="14" t="s">
        <v>37</v>
      </c>
      <c r="I4" s="14" t="s">
        <v>38</v>
      </c>
      <c r="J4" s="14" t="s">
        <v>39</v>
      </c>
      <c r="K4" s="14" t="s">
        <v>41</v>
      </c>
      <c r="L4" s="14" t="s">
        <v>43</v>
      </c>
      <c r="M4" s="14" t="s">
        <v>15</v>
      </c>
      <c r="N4" s="14" t="s">
        <v>45</v>
      </c>
    </row>
    <row r="5">
      <c r="A5" s="17">
        <v>1.0</v>
      </c>
      <c r="B5" s="20" t="s">
        <v>46</v>
      </c>
      <c r="C5" s="20" t="s">
        <v>48</v>
      </c>
      <c r="D5" s="23" t="s">
        <v>49</v>
      </c>
      <c r="E5" s="28" t="s">
        <v>51</v>
      </c>
      <c r="F5" s="20" t="s">
        <v>56</v>
      </c>
      <c r="G5" s="20" t="s">
        <v>57</v>
      </c>
      <c r="H5" s="20" t="s">
        <v>58</v>
      </c>
      <c r="I5" s="29">
        <v>46372.0</v>
      </c>
      <c r="J5" s="29">
        <v>46042.0</v>
      </c>
      <c r="K5" s="20" t="s">
        <v>59</v>
      </c>
      <c r="L5" s="20" t="s">
        <v>60</v>
      </c>
      <c r="M5" s="20" t="s">
        <v>61</v>
      </c>
      <c r="N5" s="20" t="s">
        <v>62</v>
      </c>
    </row>
    <row r="6" ht="16.5" customHeight="1">
      <c r="A6" s="30">
        <v>2.0</v>
      </c>
      <c r="B6" s="31" t="s">
        <v>63</v>
      </c>
      <c r="C6" s="31" t="s">
        <v>48</v>
      </c>
      <c r="D6" s="32" t="s">
        <v>42</v>
      </c>
      <c r="E6" s="33" t="s">
        <v>52</v>
      </c>
      <c r="F6" s="31" t="s">
        <v>69</v>
      </c>
      <c r="G6" s="31" t="s">
        <v>71</v>
      </c>
      <c r="H6" s="31" t="s">
        <v>74</v>
      </c>
      <c r="I6" s="36">
        <v>45972.0</v>
      </c>
      <c r="J6" s="36">
        <v>45343.0</v>
      </c>
      <c r="K6" s="31" t="s">
        <v>77</v>
      </c>
      <c r="L6" s="31" t="s">
        <v>78</v>
      </c>
      <c r="M6" s="31" t="s">
        <v>79</v>
      </c>
      <c r="N6" s="31" t="s">
        <v>62</v>
      </c>
    </row>
    <row r="7">
      <c r="A7" s="17">
        <v>3.0</v>
      </c>
      <c r="B7" s="20" t="s">
        <v>81</v>
      </c>
      <c r="C7" s="20" t="s">
        <v>82</v>
      </c>
      <c r="D7" s="23" t="s">
        <v>83</v>
      </c>
      <c r="E7" s="28" t="s">
        <v>85</v>
      </c>
      <c r="F7" s="20" t="s">
        <v>92</v>
      </c>
      <c r="G7" s="20" t="s">
        <v>93</v>
      </c>
      <c r="H7" s="20" t="s">
        <v>94</v>
      </c>
      <c r="I7" s="29">
        <v>45675.0</v>
      </c>
      <c r="J7" s="29">
        <v>46233.0</v>
      </c>
      <c r="K7" s="20" t="s">
        <v>59</v>
      </c>
      <c r="L7" s="20" t="s">
        <v>96</v>
      </c>
      <c r="M7" s="20" t="s">
        <v>96</v>
      </c>
      <c r="N7" s="20" t="s">
        <v>62</v>
      </c>
    </row>
    <row r="8">
      <c r="A8" s="17">
        <v>4.0</v>
      </c>
      <c r="B8" s="20" t="s">
        <v>100</v>
      </c>
      <c r="C8" s="20" t="s">
        <v>101</v>
      </c>
      <c r="D8" s="23" t="s">
        <v>102</v>
      </c>
      <c r="E8" s="28" t="s">
        <v>103</v>
      </c>
      <c r="F8" s="20" t="s">
        <v>107</v>
      </c>
      <c r="G8" s="20" t="s">
        <v>109</v>
      </c>
      <c r="H8" s="20" t="s">
        <v>111</v>
      </c>
      <c r="I8" s="29">
        <v>46372.0</v>
      </c>
      <c r="J8" s="29">
        <v>46235.0</v>
      </c>
      <c r="K8" s="20" t="s">
        <v>113</v>
      </c>
      <c r="L8" s="20" t="s">
        <v>114</v>
      </c>
      <c r="M8" s="20" t="s">
        <v>116</v>
      </c>
      <c r="N8" s="20" t="s">
        <v>62</v>
      </c>
    </row>
    <row r="9">
      <c r="A9" s="17">
        <v>5.0</v>
      </c>
      <c r="B9" s="20" t="s">
        <v>100</v>
      </c>
      <c r="C9" s="20" t="s">
        <v>101</v>
      </c>
      <c r="D9" s="23" t="s">
        <v>102</v>
      </c>
      <c r="E9" s="28" t="s">
        <v>118</v>
      </c>
      <c r="F9" s="20" t="s">
        <v>120</v>
      </c>
      <c r="G9" s="20" t="s">
        <v>121</v>
      </c>
      <c r="H9" s="20" t="s">
        <v>122</v>
      </c>
      <c r="I9" s="29">
        <v>46372.0</v>
      </c>
      <c r="J9" s="29">
        <v>46041.0</v>
      </c>
      <c r="K9" s="20" t="s">
        <v>124</v>
      </c>
      <c r="L9" s="20" t="s">
        <v>114</v>
      </c>
      <c r="M9" s="20"/>
      <c r="N9" s="20" t="s">
        <v>62</v>
      </c>
    </row>
    <row r="10">
      <c r="A10" s="17">
        <v>6.0</v>
      </c>
      <c r="B10" s="20" t="s">
        <v>125</v>
      </c>
      <c r="C10" s="20" t="s">
        <v>101</v>
      </c>
      <c r="D10" s="23" t="s">
        <v>102</v>
      </c>
      <c r="E10" s="28" t="s">
        <v>127</v>
      </c>
      <c r="F10" s="20" t="s">
        <v>129</v>
      </c>
      <c r="G10" s="20" t="s">
        <v>130</v>
      </c>
      <c r="H10" s="20" t="s">
        <v>131</v>
      </c>
      <c r="I10" s="29">
        <v>46372.0</v>
      </c>
      <c r="J10" s="29">
        <v>46041.0</v>
      </c>
      <c r="K10" s="20" t="s">
        <v>77</v>
      </c>
      <c r="L10" s="20" t="s">
        <v>133</v>
      </c>
      <c r="M10" s="20" t="s">
        <v>134</v>
      </c>
      <c r="N10" s="20" t="s">
        <v>62</v>
      </c>
    </row>
    <row r="11">
      <c r="A11" s="17">
        <v>7.0</v>
      </c>
      <c r="B11" s="20" t="s">
        <v>135</v>
      </c>
      <c r="C11" s="20" t="s">
        <v>101</v>
      </c>
      <c r="D11" s="23" t="s">
        <v>102</v>
      </c>
      <c r="E11" s="28" t="s">
        <v>137</v>
      </c>
      <c r="F11" s="20" t="s">
        <v>141</v>
      </c>
      <c r="G11" s="20" t="s">
        <v>142</v>
      </c>
      <c r="H11" s="20" t="s">
        <v>144</v>
      </c>
      <c r="I11" s="29">
        <v>46372.0</v>
      </c>
      <c r="J11" s="29">
        <v>46041.0</v>
      </c>
      <c r="K11" s="20" t="s">
        <v>145</v>
      </c>
      <c r="L11" s="20" t="s">
        <v>146</v>
      </c>
      <c r="M11" s="20" t="s">
        <v>147</v>
      </c>
      <c r="N11" s="20" t="s">
        <v>62</v>
      </c>
    </row>
    <row r="12">
      <c r="A12" s="17">
        <v>8.0</v>
      </c>
      <c r="B12" s="20" t="s">
        <v>149</v>
      </c>
      <c r="C12" s="20" t="s">
        <v>101</v>
      </c>
      <c r="D12" s="23" t="s">
        <v>102</v>
      </c>
      <c r="E12" s="28" t="s">
        <v>150</v>
      </c>
      <c r="F12" s="20" t="s">
        <v>151</v>
      </c>
      <c r="G12" s="20" t="s">
        <v>152</v>
      </c>
      <c r="H12" s="20" t="s">
        <v>153</v>
      </c>
      <c r="I12" s="29">
        <v>46372.0</v>
      </c>
      <c r="J12" s="29">
        <v>46041.0</v>
      </c>
      <c r="K12" s="20" t="s">
        <v>156</v>
      </c>
      <c r="L12" s="20" t="s">
        <v>157</v>
      </c>
      <c r="M12" s="20" t="s">
        <v>158</v>
      </c>
      <c r="N12" s="20" t="s">
        <v>62</v>
      </c>
    </row>
    <row r="13">
      <c r="A13" s="17">
        <v>9.0</v>
      </c>
      <c r="B13" s="20" t="s">
        <v>162</v>
      </c>
      <c r="C13" s="20" t="s">
        <v>101</v>
      </c>
      <c r="D13" s="23" t="s">
        <v>102</v>
      </c>
      <c r="E13" s="28" t="s">
        <v>163</v>
      </c>
      <c r="F13" s="20" t="s">
        <v>164</v>
      </c>
      <c r="G13" s="20" t="s">
        <v>165</v>
      </c>
      <c r="H13" s="20" t="s">
        <v>166</v>
      </c>
      <c r="I13" s="29">
        <v>46372.0</v>
      </c>
      <c r="J13" s="29">
        <v>46041.0</v>
      </c>
      <c r="K13" s="20" t="s">
        <v>168</v>
      </c>
      <c r="L13" s="20" t="s">
        <v>169</v>
      </c>
      <c r="M13" s="20" t="s">
        <v>170</v>
      </c>
      <c r="N13" s="20" t="s">
        <v>62</v>
      </c>
    </row>
    <row r="14">
      <c r="A14" s="17">
        <v>10.0</v>
      </c>
      <c r="B14" s="20" t="s">
        <v>171</v>
      </c>
      <c r="C14" s="20" t="s">
        <v>101</v>
      </c>
      <c r="D14" s="23" t="s">
        <v>102</v>
      </c>
      <c r="E14" s="28" t="s">
        <v>172</v>
      </c>
      <c r="F14" s="20" t="s">
        <v>179</v>
      </c>
      <c r="G14" s="20" t="s">
        <v>180</v>
      </c>
      <c r="H14" s="20" t="s">
        <v>181</v>
      </c>
      <c r="I14" s="29">
        <v>46372.0</v>
      </c>
      <c r="J14" s="29">
        <v>46041.0</v>
      </c>
      <c r="K14" s="20" t="s">
        <v>182</v>
      </c>
      <c r="L14" s="20" t="s">
        <v>183</v>
      </c>
      <c r="M14" s="20" t="s">
        <v>184</v>
      </c>
      <c r="N14" s="20" t="s">
        <v>62</v>
      </c>
    </row>
    <row r="15">
      <c r="A15" s="17">
        <v>11.0</v>
      </c>
      <c r="B15" s="20" t="s">
        <v>100</v>
      </c>
      <c r="C15" s="20" t="s">
        <v>185</v>
      </c>
      <c r="D15" s="23" t="s">
        <v>186</v>
      </c>
      <c r="E15" s="28" t="s">
        <v>187</v>
      </c>
      <c r="F15" s="20" t="s">
        <v>191</v>
      </c>
      <c r="G15" s="20" t="s">
        <v>192</v>
      </c>
      <c r="H15" s="20" t="s">
        <v>194</v>
      </c>
      <c r="I15" s="29">
        <v>46508.0</v>
      </c>
      <c r="J15" s="29">
        <v>45308.0</v>
      </c>
      <c r="K15" s="20" t="s">
        <v>195</v>
      </c>
      <c r="L15" s="20" t="s">
        <v>114</v>
      </c>
      <c r="M15" s="20"/>
      <c r="N15" s="20" t="s">
        <v>62</v>
      </c>
    </row>
    <row r="16">
      <c r="A16" s="17">
        <v>12.0</v>
      </c>
      <c r="B16" s="20" t="s">
        <v>100</v>
      </c>
      <c r="C16" s="20" t="s">
        <v>197</v>
      </c>
      <c r="D16" s="23" t="s">
        <v>198</v>
      </c>
      <c r="E16" s="28" t="s">
        <v>199</v>
      </c>
      <c r="F16" s="42"/>
      <c r="G16" s="29"/>
      <c r="H16" s="29"/>
      <c r="I16" s="29">
        <v>46213.0</v>
      </c>
      <c r="J16" s="29">
        <v>46232.0</v>
      </c>
      <c r="K16" s="20" t="s">
        <v>182</v>
      </c>
      <c r="L16" s="20" t="s">
        <v>114</v>
      </c>
      <c r="M16" s="20"/>
      <c r="N16" s="20" t="s">
        <v>62</v>
      </c>
    </row>
    <row r="17">
      <c r="A17" s="17">
        <v>13.0</v>
      </c>
      <c r="B17" s="20" t="s">
        <v>100</v>
      </c>
      <c r="C17" s="20" t="s">
        <v>203</v>
      </c>
      <c r="D17" s="23" t="s">
        <v>204</v>
      </c>
      <c r="E17" s="28" t="s">
        <v>205</v>
      </c>
      <c r="F17" s="20" t="s">
        <v>209</v>
      </c>
      <c r="G17" s="20" t="s">
        <v>210</v>
      </c>
      <c r="H17" s="20" t="s">
        <v>211</v>
      </c>
      <c r="I17" s="29">
        <v>46174.0</v>
      </c>
      <c r="J17" s="29">
        <v>45804.0</v>
      </c>
      <c r="K17" s="20" t="s">
        <v>77</v>
      </c>
      <c r="L17" s="20" t="s">
        <v>114</v>
      </c>
      <c r="M17" s="20"/>
      <c r="N17" s="20" t="s">
        <v>62</v>
      </c>
    </row>
    <row r="18">
      <c r="A18" s="17">
        <v>14.0</v>
      </c>
      <c r="B18" s="20" t="s">
        <v>100</v>
      </c>
      <c r="C18" s="20" t="s">
        <v>203</v>
      </c>
      <c r="D18" s="23" t="s">
        <v>214</v>
      </c>
      <c r="E18" s="28" t="s">
        <v>215</v>
      </c>
      <c r="F18" s="42"/>
      <c r="G18" s="29"/>
      <c r="H18" s="29"/>
      <c r="I18" s="29">
        <v>46174.0</v>
      </c>
      <c r="J18" s="29">
        <v>45804.0</v>
      </c>
      <c r="K18" s="20" t="s">
        <v>77</v>
      </c>
      <c r="L18" s="20" t="s">
        <v>114</v>
      </c>
      <c r="M18" s="42"/>
      <c r="N18" s="20" t="s">
        <v>62</v>
      </c>
    </row>
    <row r="19">
      <c r="A19" s="17">
        <v>15.0</v>
      </c>
      <c r="B19" s="20" t="s">
        <v>100</v>
      </c>
      <c r="C19" s="20" t="s">
        <v>221</v>
      </c>
      <c r="D19" s="23" t="s">
        <v>222</v>
      </c>
      <c r="E19" s="28" t="s">
        <v>224</v>
      </c>
      <c r="F19" s="20" t="s">
        <v>227</v>
      </c>
      <c r="G19" s="20" t="s">
        <v>228</v>
      </c>
      <c r="H19" s="20" t="s">
        <v>230</v>
      </c>
      <c r="I19" s="29">
        <v>46204.0</v>
      </c>
      <c r="J19" s="29">
        <v>46232.0</v>
      </c>
      <c r="K19" s="20" t="s">
        <v>182</v>
      </c>
      <c r="L19" s="20" t="s">
        <v>133</v>
      </c>
      <c r="M19" s="20" t="s">
        <v>134</v>
      </c>
      <c r="N19" s="20" t="s">
        <v>62</v>
      </c>
    </row>
    <row r="20">
      <c r="A20" s="17">
        <v>16.0</v>
      </c>
      <c r="B20" s="20" t="s">
        <v>100</v>
      </c>
      <c r="C20" s="20" t="s">
        <v>233</v>
      </c>
      <c r="D20" s="23" t="s">
        <v>204</v>
      </c>
      <c r="E20" s="28" t="s">
        <v>234</v>
      </c>
      <c r="F20" s="42"/>
      <c r="G20" s="29"/>
      <c r="H20" s="29"/>
      <c r="I20" s="29"/>
      <c r="J20" s="29"/>
      <c r="K20" s="20" t="s">
        <v>145</v>
      </c>
      <c r="L20" s="20" t="s">
        <v>114</v>
      </c>
      <c r="M20" s="20"/>
      <c r="N20" s="20" t="s">
        <v>62</v>
      </c>
    </row>
    <row r="21">
      <c r="A21" s="17">
        <v>17.0</v>
      </c>
      <c r="B21" s="20" t="s">
        <v>100</v>
      </c>
      <c r="C21" s="20" t="s">
        <v>22</v>
      </c>
      <c r="D21" s="23" t="s">
        <v>236</v>
      </c>
      <c r="E21" s="28" t="s">
        <v>237</v>
      </c>
      <c r="F21" s="42"/>
      <c r="G21" s="29"/>
      <c r="H21" s="29"/>
      <c r="I21" s="29">
        <v>46235.0</v>
      </c>
      <c r="J21" s="29">
        <v>45859.0</v>
      </c>
      <c r="K21" s="20" t="s">
        <v>59</v>
      </c>
      <c r="L21" s="20" t="s">
        <v>114</v>
      </c>
      <c r="M21" s="20"/>
      <c r="N21" s="20" t="s">
        <v>62</v>
      </c>
    </row>
    <row r="22">
      <c r="A22" s="17">
        <v>18.0</v>
      </c>
      <c r="B22" s="20" t="s">
        <v>100</v>
      </c>
      <c r="C22" s="20" t="s">
        <v>241</v>
      </c>
      <c r="D22" s="23" t="s">
        <v>243</v>
      </c>
      <c r="E22" s="28" t="s">
        <v>244</v>
      </c>
      <c r="F22" s="42"/>
      <c r="G22" s="29"/>
      <c r="H22" s="29"/>
      <c r="I22" s="29">
        <v>46266.0</v>
      </c>
      <c r="J22" s="29">
        <v>45891.0</v>
      </c>
      <c r="K22" s="20" t="s">
        <v>156</v>
      </c>
      <c r="L22" s="20" t="s">
        <v>114</v>
      </c>
      <c r="M22" s="20"/>
      <c r="N22" s="20" t="s">
        <v>62</v>
      </c>
    </row>
    <row r="23">
      <c r="A23" s="17">
        <v>19.0</v>
      </c>
      <c r="B23" s="20" t="s">
        <v>100</v>
      </c>
      <c r="C23" s="20" t="s">
        <v>246</v>
      </c>
      <c r="D23" s="20" t="s">
        <v>247</v>
      </c>
      <c r="E23" s="20" t="s">
        <v>248</v>
      </c>
      <c r="F23" s="42"/>
      <c r="G23" s="50"/>
      <c r="H23" s="50"/>
      <c r="I23" s="29">
        <v>46143.0</v>
      </c>
      <c r="J23" s="50"/>
      <c r="K23" s="20" t="s">
        <v>195</v>
      </c>
      <c r="L23" s="20" t="s">
        <v>114</v>
      </c>
      <c r="M23" s="42"/>
      <c r="N23" s="20" t="s">
        <v>252</v>
      </c>
    </row>
    <row r="24">
      <c r="A24" s="17">
        <v>20.0</v>
      </c>
      <c r="B24" s="20" t="s">
        <v>100</v>
      </c>
      <c r="C24" s="20" t="s">
        <v>253</v>
      </c>
      <c r="D24" s="20" t="s">
        <v>254</v>
      </c>
      <c r="E24" s="20" t="s">
        <v>256</v>
      </c>
      <c r="F24" s="42"/>
      <c r="G24" s="50"/>
      <c r="H24" s="50"/>
      <c r="I24" s="50"/>
      <c r="J24" s="50"/>
      <c r="K24" s="20" t="s">
        <v>113</v>
      </c>
      <c r="L24" s="42"/>
      <c r="M24" s="42"/>
      <c r="N24" s="20" t="s">
        <v>252</v>
      </c>
    </row>
    <row r="25">
      <c r="A25" s="17">
        <v>21.0</v>
      </c>
      <c r="B25" s="20" t="s">
        <v>100</v>
      </c>
      <c r="C25" s="20" t="s">
        <v>260</v>
      </c>
      <c r="D25" s="20" t="s">
        <v>261</v>
      </c>
      <c r="E25" s="20" t="s">
        <v>263</v>
      </c>
      <c r="F25" s="42"/>
      <c r="G25" s="50"/>
      <c r="H25" s="50"/>
      <c r="I25" s="50"/>
      <c r="J25" s="50"/>
      <c r="K25" s="20" t="s">
        <v>182</v>
      </c>
      <c r="L25" s="42"/>
      <c r="M25" s="42"/>
      <c r="N25" s="20" t="s">
        <v>252</v>
      </c>
    </row>
    <row r="27">
      <c r="A27" s="2" t="s">
        <v>265</v>
      </c>
    </row>
    <row r="28">
      <c r="A28" s="14" t="s">
        <v>23</v>
      </c>
      <c r="B28" s="14" t="s">
        <v>15</v>
      </c>
      <c r="C28" s="14" t="s">
        <v>267</v>
      </c>
      <c r="D28" s="14" t="s">
        <v>269</v>
      </c>
      <c r="E28" s="14" t="s">
        <v>270</v>
      </c>
      <c r="F28" s="14" t="s">
        <v>272</v>
      </c>
    </row>
    <row r="29">
      <c r="A29" s="17">
        <v>1.0</v>
      </c>
      <c r="B29" s="20" t="s">
        <v>75</v>
      </c>
      <c r="C29" s="20" t="s">
        <v>274</v>
      </c>
      <c r="D29" s="54">
        <v>48468.0</v>
      </c>
      <c r="E29" s="23" t="s">
        <v>278</v>
      </c>
      <c r="F29" s="56" t="s">
        <v>279</v>
      </c>
    </row>
    <row r="30">
      <c r="A30" s="17">
        <v>2.0</v>
      </c>
      <c r="B30" s="20" t="s">
        <v>283</v>
      </c>
      <c r="C30" s="20" t="s">
        <v>284</v>
      </c>
      <c r="D30" s="54">
        <v>46630.0</v>
      </c>
      <c r="E30" s="23" t="s">
        <v>285</v>
      </c>
      <c r="F30" s="56" t="s">
        <v>286</v>
      </c>
    </row>
    <row r="31">
      <c r="A31" s="17">
        <v>3.0</v>
      </c>
      <c r="B31" s="20" t="s">
        <v>288</v>
      </c>
      <c r="C31" s="20" t="s">
        <v>289</v>
      </c>
      <c r="D31" s="54">
        <v>48217.0</v>
      </c>
      <c r="E31" s="23" t="s">
        <v>290</v>
      </c>
      <c r="F31" s="56" t="s">
        <v>291</v>
      </c>
    </row>
    <row r="32">
      <c r="A32" s="17">
        <v>4.0</v>
      </c>
      <c r="B32" s="20" t="s">
        <v>293</v>
      </c>
      <c r="C32" s="20" t="s">
        <v>294</v>
      </c>
      <c r="D32" s="54">
        <v>48437.0</v>
      </c>
      <c r="E32" s="23" t="s">
        <v>285</v>
      </c>
      <c r="F32" s="56"/>
    </row>
    <row r="33">
      <c r="A33" s="17">
        <v>5.0</v>
      </c>
      <c r="B33" s="20" t="s">
        <v>295</v>
      </c>
      <c r="C33" s="20" t="s">
        <v>296</v>
      </c>
      <c r="D33" s="54">
        <v>49217.0</v>
      </c>
      <c r="E33" s="23" t="s">
        <v>297</v>
      </c>
      <c r="F33" s="56" t="s">
        <v>298</v>
      </c>
    </row>
    <row r="34">
      <c r="A34" s="17">
        <v>6.0</v>
      </c>
      <c r="B34" s="20" t="s">
        <v>299</v>
      </c>
      <c r="C34" s="20" t="s">
        <v>300</v>
      </c>
      <c r="D34" s="54">
        <v>48623.0</v>
      </c>
      <c r="E34" s="23" t="s">
        <v>302</v>
      </c>
      <c r="F34" s="56" t="s">
        <v>305</v>
      </c>
    </row>
    <row r="35">
      <c r="A35" s="17">
        <v>7.0</v>
      </c>
      <c r="B35" s="20" t="s">
        <v>306</v>
      </c>
      <c r="C35" s="20" t="s">
        <v>307</v>
      </c>
      <c r="D35" s="54">
        <v>48926.0</v>
      </c>
      <c r="E35" s="23" t="s">
        <v>308</v>
      </c>
      <c r="F35" s="56" t="s">
        <v>309</v>
      </c>
    </row>
    <row r="36">
      <c r="A36" s="17">
        <v>8.0</v>
      </c>
      <c r="B36" s="20" t="s">
        <v>310</v>
      </c>
      <c r="C36" s="20" t="s">
        <v>312</v>
      </c>
      <c r="D36" s="54">
        <v>48176.0</v>
      </c>
      <c r="E36" s="23" t="s">
        <v>314</v>
      </c>
      <c r="F36" s="56" t="s">
        <v>315</v>
      </c>
    </row>
    <row r="37">
      <c r="A37" s="17">
        <v>9.0</v>
      </c>
      <c r="B37" s="20" t="s">
        <v>317</v>
      </c>
      <c r="C37" s="20" t="s">
        <v>318</v>
      </c>
      <c r="D37" s="54">
        <v>46943.0</v>
      </c>
      <c r="E37" s="23" t="s">
        <v>302</v>
      </c>
      <c r="F37" s="56"/>
    </row>
    <row r="38">
      <c r="A38" s="17">
        <v>10.0</v>
      </c>
      <c r="B38" s="20" t="s">
        <v>321</v>
      </c>
      <c r="C38" s="20" t="s">
        <v>322</v>
      </c>
      <c r="D38" s="54">
        <v>48374.0</v>
      </c>
      <c r="E38" s="23" t="s">
        <v>323</v>
      </c>
      <c r="F38" s="56"/>
    </row>
    <row r="39">
      <c r="A39" s="17">
        <v>11.0</v>
      </c>
      <c r="B39" s="20" t="s">
        <v>324</v>
      </c>
      <c r="C39" s="20" t="s">
        <v>325</v>
      </c>
      <c r="D39" s="54">
        <v>48212.0</v>
      </c>
      <c r="E39" s="23" t="s">
        <v>323</v>
      </c>
      <c r="F39" s="56"/>
    </row>
    <row r="40">
      <c r="A40" s="17">
        <v>12.0</v>
      </c>
      <c r="B40" s="20" t="s">
        <v>133</v>
      </c>
      <c r="C40" s="20" t="s">
        <v>329</v>
      </c>
      <c r="D40" s="54">
        <v>48386.0</v>
      </c>
      <c r="E40" s="23" t="s">
        <v>331</v>
      </c>
      <c r="F40" s="56"/>
    </row>
    <row r="41">
      <c r="A41" s="17">
        <v>13.0</v>
      </c>
      <c r="B41" s="20" t="s">
        <v>96</v>
      </c>
      <c r="C41" s="20" t="s">
        <v>333</v>
      </c>
      <c r="D41" s="54">
        <v>48897.0</v>
      </c>
      <c r="E41" s="23" t="s">
        <v>335</v>
      </c>
      <c r="F41" s="56"/>
    </row>
    <row r="42">
      <c r="A42" s="17">
        <v>14.0</v>
      </c>
      <c r="B42" s="20" t="s">
        <v>183</v>
      </c>
      <c r="C42" s="20" t="s">
        <v>338</v>
      </c>
      <c r="D42" s="54">
        <v>48368.0</v>
      </c>
      <c r="E42" s="23" t="s">
        <v>308</v>
      </c>
      <c r="F42" s="56"/>
    </row>
    <row r="43">
      <c r="A43" s="17">
        <v>15.0</v>
      </c>
      <c r="B43" s="20" t="s">
        <v>340</v>
      </c>
      <c r="C43" s="20" t="s">
        <v>342</v>
      </c>
      <c r="D43" s="54">
        <v>48358.0</v>
      </c>
      <c r="E43" s="23" t="s">
        <v>343</v>
      </c>
      <c r="F43" s="56"/>
    </row>
    <row r="44">
      <c r="A44" s="17">
        <v>16.0</v>
      </c>
      <c r="B44" s="20" t="s">
        <v>344</v>
      </c>
      <c r="C44" s="20" t="s">
        <v>347</v>
      </c>
      <c r="D44" s="54">
        <v>46663.0</v>
      </c>
      <c r="E44" s="23" t="s">
        <v>285</v>
      </c>
      <c r="F44" s="56" t="s">
        <v>349</v>
      </c>
    </row>
    <row r="45">
      <c r="A45" s="17">
        <v>17.0</v>
      </c>
      <c r="B45" s="20" t="s">
        <v>114</v>
      </c>
      <c r="C45" s="20" t="s">
        <v>352</v>
      </c>
      <c r="D45" s="54">
        <v>48950.0</v>
      </c>
      <c r="E45" s="23" t="s">
        <v>353</v>
      </c>
      <c r="F45" s="56"/>
    </row>
    <row r="46">
      <c r="A46" s="17">
        <v>18.0</v>
      </c>
      <c r="B46" s="20" t="s">
        <v>355</v>
      </c>
      <c r="C46" s="20" t="s">
        <v>356</v>
      </c>
      <c r="D46" s="54">
        <v>48549.0</v>
      </c>
      <c r="E46" s="23" t="s">
        <v>285</v>
      </c>
      <c r="F46" s="56"/>
    </row>
    <row r="47">
      <c r="A47" s="17">
        <v>19.0</v>
      </c>
      <c r="B47" s="20" t="s">
        <v>357</v>
      </c>
      <c r="C47" s="20" t="s">
        <v>358</v>
      </c>
      <c r="D47" s="54">
        <v>48330.0</v>
      </c>
      <c r="E47" s="23" t="s">
        <v>285</v>
      </c>
      <c r="F47" s="56" t="s">
        <v>361</v>
      </c>
    </row>
    <row r="48">
      <c r="A48" s="17">
        <v>20.0</v>
      </c>
      <c r="B48" s="20" t="s">
        <v>363</v>
      </c>
      <c r="C48" s="20" t="s">
        <v>364</v>
      </c>
      <c r="D48" s="54">
        <v>48737.0</v>
      </c>
      <c r="E48" s="23" t="s">
        <v>285</v>
      </c>
      <c r="F48" s="56" t="s">
        <v>366</v>
      </c>
    </row>
    <row r="49">
      <c r="A49" s="17">
        <v>21.0</v>
      </c>
      <c r="B49" s="20" t="s">
        <v>368</v>
      </c>
      <c r="C49" s="20" t="s">
        <v>370</v>
      </c>
      <c r="D49" s="54">
        <v>48592.0</v>
      </c>
      <c r="E49" s="23" t="s">
        <v>371</v>
      </c>
      <c r="F49" s="56"/>
    </row>
    <row r="50">
      <c r="A50" s="17">
        <v>22.0</v>
      </c>
      <c r="B50" s="20" t="s">
        <v>374</v>
      </c>
      <c r="C50" s="20" t="s">
        <v>375</v>
      </c>
      <c r="D50" s="54">
        <v>48974.0</v>
      </c>
      <c r="E50" s="23" t="s">
        <v>376</v>
      </c>
      <c r="F50" s="56"/>
    </row>
    <row r="51">
      <c r="A51" s="17">
        <v>23.0</v>
      </c>
      <c r="B51" s="20" t="s">
        <v>377</v>
      </c>
      <c r="C51" s="20" t="s">
        <v>378</v>
      </c>
      <c r="D51" s="54">
        <v>46360.0</v>
      </c>
      <c r="E51" s="23" t="s">
        <v>376</v>
      </c>
      <c r="F51" s="56"/>
    </row>
    <row r="52">
      <c r="A52" s="17">
        <v>24.0</v>
      </c>
      <c r="B52" s="20" t="s">
        <v>381</v>
      </c>
      <c r="C52" s="20" t="s">
        <v>382</v>
      </c>
      <c r="D52" s="54">
        <v>48406.0</v>
      </c>
      <c r="E52" s="23" t="s">
        <v>376</v>
      </c>
      <c r="F52" s="56"/>
    </row>
    <row r="53">
      <c r="A53" s="17">
        <v>25.0</v>
      </c>
      <c r="B53" s="20" t="s">
        <v>146</v>
      </c>
      <c r="C53" s="20"/>
      <c r="D53" s="54"/>
      <c r="E53" s="23" t="s">
        <v>302</v>
      </c>
      <c r="F53" s="56"/>
    </row>
    <row r="54">
      <c r="A54" s="17">
        <v>26.0</v>
      </c>
      <c r="B54" s="20" t="s">
        <v>385</v>
      </c>
      <c r="C54" s="20" t="s">
        <v>386</v>
      </c>
      <c r="D54" s="54">
        <v>48769.0</v>
      </c>
      <c r="E54" s="23" t="s">
        <v>376</v>
      </c>
      <c r="F54" s="56"/>
    </row>
    <row r="55">
      <c r="A55" s="17">
        <v>27.0</v>
      </c>
      <c r="B55" s="20" t="s">
        <v>388</v>
      </c>
      <c r="C55" s="20" t="s">
        <v>389</v>
      </c>
      <c r="D55" s="54">
        <v>48485.0</v>
      </c>
      <c r="E55" s="23" t="s">
        <v>390</v>
      </c>
      <c r="F55" s="56" t="s">
        <v>391</v>
      </c>
    </row>
  </sheetData>
  <hyperlinks>
    <hyperlink display="SCB 1747" location="'SCB 1747'!A1" ref="E5"/>
    <hyperlink display="SCC 1115" location="'SCC1115'!A1" ref="E6"/>
    <hyperlink display="SCA 8117" location="'SCA 8117'!A1" ref="E7"/>
    <hyperlink display="SCD 2643" location="'SCD 2643'!A1" ref="E8"/>
    <hyperlink display="SCB 1750" location="'SCB 1750'!A1" ref="E9"/>
    <hyperlink display="SCB 1745" location="'SCD 1745'!A1" ref="E10"/>
    <hyperlink display="SCB 1749" location="'SCB 1749'!A1" ref="E11"/>
    <hyperlink display="SCB 1748" location="'SCB 1748'!A1" ref="E12"/>
    <hyperlink display="SCB 1751" location="'SCB 1751'!A1" ref="E13"/>
    <hyperlink display="SCB 1746" location="'SCB 1746'!A1" ref="E14"/>
    <hyperlink display="SCA 1174" location="'SCA 1174'!A1" ref="E15"/>
    <hyperlink display="SJJ 476" location="'SJJ 476'!A1" ref="E16"/>
    <hyperlink display="SKY 715" location="'SKY 715'!A1" ref="E17"/>
    <hyperlink display="SKY 725" location="'SKY 725'!A1" ref="E18"/>
    <hyperlink display="SAA 3316" location="'SAA 3316'!A1" ref="E19"/>
    <hyperlink display="SJX 679" location="'SJX 679'!A1" ref="E20"/>
    <hyperlink display="SJB 467" location="'SJB 467'!A1" ref="E21"/>
    <hyperlink display="SHY 948" location="'SHY 948'!A1" ref="E22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7.88"/>
    <col customWidth="1" min="13" max="13" width="30.13"/>
    <col customWidth="1" min="18" max="18" width="27.63"/>
    <col customWidth="1" min="19" max="19" width="33.0"/>
  </cols>
  <sheetData>
    <row r="1">
      <c r="A1" s="2" t="s">
        <v>1</v>
      </c>
      <c r="B1" s="1"/>
      <c r="D1" s="3" t="s">
        <v>2</v>
      </c>
      <c r="E1" s="3" t="s">
        <v>3</v>
      </c>
      <c r="F1" s="3" t="s">
        <v>5</v>
      </c>
      <c r="G1" s="3" t="s">
        <v>6</v>
      </c>
      <c r="H1" s="3" t="s">
        <v>7</v>
      </c>
      <c r="I1" s="6" t="s">
        <v>9</v>
      </c>
      <c r="K1" s="10" t="s">
        <v>17</v>
      </c>
      <c r="L1" s="10"/>
      <c r="M1" s="10"/>
      <c r="N1" s="10"/>
      <c r="O1" s="10"/>
      <c r="P1" s="10"/>
      <c r="Q1" s="10"/>
      <c r="R1" s="10"/>
      <c r="S1" s="10"/>
    </row>
    <row r="2">
      <c r="A2" s="1" t="s">
        <v>21</v>
      </c>
      <c r="B2" s="2" t="s">
        <v>22</v>
      </c>
      <c r="D2" s="12"/>
      <c r="E2" s="12"/>
      <c r="F2" s="12"/>
      <c r="G2" s="12"/>
      <c r="H2" s="12"/>
      <c r="I2" s="12"/>
      <c r="K2" s="6" t="s">
        <v>8</v>
      </c>
      <c r="L2" s="6" t="s">
        <v>24</v>
      </c>
      <c r="M2" s="6" t="s">
        <v>25</v>
      </c>
      <c r="N2" s="6" t="s">
        <v>27</v>
      </c>
      <c r="O2" s="6" t="s">
        <v>28</v>
      </c>
      <c r="P2" s="6" t="s">
        <v>30</v>
      </c>
      <c r="Q2" s="6" t="s">
        <v>36</v>
      </c>
      <c r="R2" s="6" t="s">
        <v>35</v>
      </c>
      <c r="S2" s="6" t="s">
        <v>33</v>
      </c>
    </row>
    <row r="3">
      <c r="A3" s="1" t="s">
        <v>40</v>
      </c>
      <c r="B3" s="2" t="s">
        <v>44</v>
      </c>
      <c r="D3" s="12"/>
      <c r="E3" s="12"/>
      <c r="F3" s="12"/>
      <c r="G3" s="12"/>
      <c r="H3" s="12"/>
      <c r="I3" s="12"/>
      <c r="J3" s="16"/>
      <c r="K3" s="13">
        <v>46045.0</v>
      </c>
      <c r="L3" s="19"/>
      <c r="M3" s="19" t="s">
        <v>47</v>
      </c>
      <c r="N3" s="21"/>
      <c r="O3" s="19"/>
      <c r="P3" s="19"/>
      <c r="Q3" s="19"/>
      <c r="R3" s="19"/>
      <c r="S3" s="19"/>
    </row>
    <row r="4">
      <c r="A4" s="1" t="s">
        <v>50</v>
      </c>
      <c r="B4" s="2" t="s">
        <v>51</v>
      </c>
      <c r="D4" s="12"/>
      <c r="E4" s="12"/>
      <c r="F4" s="12"/>
      <c r="G4" s="12"/>
      <c r="H4" s="12"/>
      <c r="I4" s="12"/>
      <c r="J4" s="25"/>
      <c r="K4" s="26">
        <v>46047.0</v>
      </c>
      <c r="L4" s="27" t="s">
        <v>53</v>
      </c>
      <c r="M4" s="27" t="s">
        <v>55</v>
      </c>
      <c r="N4" s="21"/>
      <c r="O4" s="19"/>
      <c r="P4" s="19">
        <f t="shared" ref="P4:P58" si="1">P3+N4-O4</f>
        <v>0</v>
      </c>
      <c r="Q4" s="27" t="s">
        <v>64</v>
      </c>
      <c r="R4" s="34" t="s">
        <v>65</v>
      </c>
      <c r="S4" s="35" t="s">
        <v>73</v>
      </c>
    </row>
    <row r="5">
      <c r="A5" s="1" t="s">
        <v>66</v>
      </c>
      <c r="B5" s="2" t="s">
        <v>75</v>
      </c>
      <c r="D5" s="12"/>
      <c r="E5" s="12"/>
      <c r="F5" s="12"/>
      <c r="G5" s="12"/>
      <c r="H5" s="12"/>
      <c r="I5" s="12"/>
      <c r="J5" s="16"/>
      <c r="K5" s="13">
        <v>46049.0</v>
      </c>
      <c r="L5" s="27" t="s">
        <v>53</v>
      </c>
      <c r="M5" s="27" t="s">
        <v>80</v>
      </c>
      <c r="N5" s="21"/>
      <c r="O5" s="19"/>
      <c r="P5" s="19">
        <f t="shared" si="1"/>
        <v>0</v>
      </c>
      <c r="Q5" s="27" t="s">
        <v>64</v>
      </c>
      <c r="R5" s="37"/>
      <c r="S5" s="37"/>
    </row>
    <row r="6">
      <c r="A6" s="1" t="s">
        <v>70</v>
      </c>
      <c r="B6" s="2" t="s">
        <v>89</v>
      </c>
      <c r="D6" s="12"/>
      <c r="E6" s="12"/>
      <c r="F6" s="12"/>
      <c r="G6" s="12"/>
      <c r="H6" s="12"/>
      <c r="I6" s="12"/>
      <c r="J6" s="16"/>
      <c r="K6" s="13">
        <v>46048.0</v>
      </c>
      <c r="L6" s="27" t="s">
        <v>53</v>
      </c>
      <c r="M6" s="27" t="s">
        <v>91</v>
      </c>
      <c r="N6" s="21"/>
      <c r="O6" s="19"/>
      <c r="P6" s="19">
        <f t="shared" si="1"/>
        <v>0</v>
      </c>
      <c r="Q6" s="27" t="s">
        <v>64</v>
      </c>
      <c r="R6" s="37"/>
      <c r="S6" s="37"/>
    </row>
    <row r="7">
      <c r="J7" s="16"/>
      <c r="K7" s="13">
        <v>46048.0</v>
      </c>
      <c r="L7" s="27" t="s">
        <v>53</v>
      </c>
      <c r="M7" s="27" t="s">
        <v>98</v>
      </c>
      <c r="N7" s="21"/>
      <c r="O7" s="19"/>
      <c r="P7" s="19">
        <f t="shared" si="1"/>
        <v>0</v>
      </c>
      <c r="Q7" s="27" t="s">
        <v>64</v>
      </c>
      <c r="R7" s="37"/>
      <c r="S7" s="37"/>
    </row>
    <row r="8">
      <c r="A8" s="6" t="s">
        <v>8</v>
      </c>
      <c r="B8" s="6" t="s">
        <v>84</v>
      </c>
      <c r="C8" s="6" t="s">
        <v>25</v>
      </c>
      <c r="D8" s="6" t="s">
        <v>86</v>
      </c>
      <c r="E8" s="6" t="s">
        <v>87</v>
      </c>
      <c r="G8" s="6" t="s">
        <v>8</v>
      </c>
      <c r="H8" s="6" t="s">
        <v>13</v>
      </c>
      <c r="I8" s="6" t="s">
        <v>88</v>
      </c>
      <c r="J8" s="16"/>
      <c r="K8" s="13">
        <v>46048.0</v>
      </c>
      <c r="L8" s="27" t="s">
        <v>53</v>
      </c>
      <c r="M8" s="27" t="s">
        <v>105</v>
      </c>
      <c r="N8" s="21"/>
      <c r="O8" s="19"/>
      <c r="P8" s="19">
        <f t="shared" si="1"/>
        <v>0</v>
      </c>
      <c r="Q8" s="27" t="s">
        <v>64</v>
      </c>
      <c r="R8" s="37"/>
      <c r="S8" s="37"/>
    </row>
    <row r="9">
      <c r="A9" s="12"/>
      <c r="B9" s="12"/>
      <c r="C9" s="12"/>
      <c r="D9" s="12"/>
      <c r="E9" s="12"/>
      <c r="G9" s="15"/>
      <c r="H9" s="12"/>
      <c r="I9" s="12"/>
      <c r="J9" s="16"/>
      <c r="K9" s="13">
        <v>46048.0</v>
      </c>
      <c r="L9" s="27" t="s">
        <v>53</v>
      </c>
      <c r="M9" s="27" t="s">
        <v>112</v>
      </c>
      <c r="N9" s="21"/>
      <c r="O9" s="19"/>
      <c r="P9" s="19">
        <f t="shared" si="1"/>
        <v>0</v>
      </c>
      <c r="Q9" s="27" t="s">
        <v>64</v>
      </c>
      <c r="R9" s="37"/>
      <c r="S9" s="37"/>
    </row>
    <row r="10">
      <c r="A10" s="12"/>
      <c r="B10" s="12"/>
      <c r="C10" s="12"/>
      <c r="D10" s="12"/>
      <c r="E10" s="12"/>
      <c r="G10" s="15"/>
      <c r="H10" s="12"/>
      <c r="I10" s="12"/>
      <c r="J10" s="16"/>
      <c r="K10" s="13">
        <v>46050.0</v>
      </c>
      <c r="L10" s="27" t="s">
        <v>53</v>
      </c>
      <c r="M10" s="27" t="s">
        <v>117</v>
      </c>
      <c r="N10" s="21"/>
      <c r="O10" s="19"/>
      <c r="P10" s="19">
        <f t="shared" si="1"/>
        <v>0</v>
      </c>
      <c r="Q10" s="27" t="s">
        <v>64</v>
      </c>
      <c r="R10" s="37"/>
      <c r="S10" s="37"/>
    </row>
    <row r="11">
      <c r="A11" s="12"/>
      <c r="B11" s="12"/>
      <c r="C11" s="12"/>
      <c r="D11" s="12"/>
      <c r="E11" s="12"/>
      <c r="G11" s="15"/>
      <c r="H11" s="12"/>
      <c r="I11" s="12"/>
      <c r="J11" s="16"/>
      <c r="K11" s="13">
        <v>46050.0</v>
      </c>
      <c r="L11" s="27" t="s">
        <v>53</v>
      </c>
      <c r="M11" s="27" t="s">
        <v>98</v>
      </c>
      <c r="N11" s="21"/>
      <c r="O11" s="19"/>
      <c r="P11" s="19">
        <f t="shared" si="1"/>
        <v>0</v>
      </c>
      <c r="Q11" s="27" t="s">
        <v>64</v>
      </c>
      <c r="R11" s="37"/>
      <c r="S11" s="37"/>
    </row>
    <row r="12">
      <c r="A12" s="12"/>
      <c r="B12" s="12"/>
      <c r="C12" s="12"/>
      <c r="D12" s="12"/>
      <c r="E12" s="12"/>
      <c r="G12" s="15"/>
      <c r="H12" s="12"/>
      <c r="I12" s="12"/>
      <c r="J12" s="16"/>
      <c r="K12" s="13">
        <v>46050.0</v>
      </c>
      <c r="L12" s="27" t="s">
        <v>53</v>
      </c>
      <c r="M12" s="27" t="s">
        <v>123</v>
      </c>
      <c r="N12" s="21"/>
      <c r="O12" s="19"/>
      <c r="P12" s="19">
        <f t="shared" si="1"/>
        <v>0</v>
      </c>
      <c r="Q12" s="27" t="s">
        <v>64</v>
      </c>
      <c r="R12" s="37"/>
      <c r="S12" s="37"/>
    </row>
    <row r="13">
      <c r="A13" s="12"/>
      <c r="B13" s="12"/>
      <c r="C13" s="12"/>
      <c r="D13" s="12"/>
      <c r="E13" s="12"/>
      <c r="G13" s="15"/>
      <c r="H13" s="12"/>
      <c r="I13" s="12"/>
      <c r="J13" s="16"/>
      <c r="K13" s="13">
        <v>46051.0</v>
      </c>
      <c r="L13" s="27" t="s">
        <v>53</v>
      </c>
      <c r="M13" s="27" t="s">
        <v>126</v>
      </c>
      <c r="N13" s="21"/>
      <c r="O13" s="19"/>
      <c r="P13" s="19">
        <f t="shared" si="1"/>
        <v>0</v>
      </c>
      <c r="Q13" s="27" t="s">
        <v>64</v>
      </c>
      <c r="R13" s="37"/>
      <c r="S13" s="37"/>
    </row>
    <row r="14">
      <c r="A14" s="12"/>
      <c r="B14" s="12"/>
      <c r="C14" s="12"/>
      <c r="D14" s="12"/>
      <c r="E14" s="12"/>
      <c r="G14" s="15"/>
      <c r="H14" s="12"/>
      <c r="I14" s="12"/>
      <c r="J14" s="16"/>
      <c r="K14" s="13">
        <v>46052.0</v>
      </c>
      <c r="L14" s="27" t="s">
        <v>53</v>
      </c>
      <c r="M14" s="27" t="s">
        <v>128</v>
      </c>
      <c r="N14" s="21"/>
      <c r="O14" s="19"/>
      <c r="P14" s="19">
        <f t="shared" si="1"/>
        <v>0</v>
      </c>
      <c r="Q14" s="27" t="s">
        <v>64</v>
      </c>
      <c r="R14" s="37"/>
      <c r="S14" s="37"/>
    </row>
    <row r="15">
      <c r="A15" s="12"/>
      <c r="B15" s="12"/>
      <c r="C15" s="12"/>
      <c r="D15" s="12"/>
      <c r="E15" s="12"/>
      <c r="G15" s="15"/>
      <c r="H15" s="12"/>
      <c r="I15" s="12"/>
      <c r="J15" s="16"/>
      <c r="K15" s="13">
        <v>46052.0</v>
      </c>
      <c r="L15" s="27" t="s">
        <v>53</v>
      </c>
      <c r="M15" s="27" t="s">
        <v>132</v>
      </c>
      <c r="N15" s="21"/>
      <c r="O15" s="19"/>
      <c r="P15" s="19">
        <f t="shared" si="1"/>
        <v>0</v>
      </c>
      <c r="Q15" s="27" t="s">
        <v>64</v>
      </c>
      <c r="R15" s="37"/>
      <c r="S15" s="37"/>
    </row>
    <row r="16">
      <c r="A16" s="12"/>
      <c r="B16" s="12"/>
      <c r="C16" s="12"/>
      <c r="D16" s="12"/>
      <c r="E16" s="12"/>
      <c r="G16" s="15"/>
      <c r="H16" s="12"/>
      <c r="I16" s="12"/>
      <c r="J16" s="16"/>
      <c r="K16" s="13">
        <v>46052.0</v>
      </c>
      <c r="L16" s="27" t="s">
        <v>53</v>
      </c>
      <c r="M16" s="27" t="s">
        <v>136</v>
      </c>
      <c r="N16" s="21"/>
      <c r="O16" s="19"/>
      <c r="P16" s="19">
        <f t="shared" si="1"/>
        <v>0</v>
      </c>
      <c r="Q16" s="27" t="s">
        <v>64</v>
      </c>
      <c r="R16" s="40"/>
      <c r="S16" s="40"/>
    </row>
    <row r="17">
      <c r="A17" s="12"/>
      <c r="B17" s="12"/>
      <c r="C17" s="12"/>
      <c r="D17" s="12"/>
      <c r="E17" s="12"/>
      <c r="G17" s="15"/>
      <c r="H17" s="12"/>
      <c r="I17" s="12"/>
      <c r="J17" s="16"/>
      <c r="K17" s="13">
        <v>46056.0</v>
      </c>
      <c r="L17" s="27" t="s">
        <v>139</v>
      </c>
      <c r="M17" s="27" t="s">
        <v>140</v>
      </c>
      <c r="N17" s="21"/>
      <c r="O17" s="19"/>
      <c r="P17" s="19">
        <f t="shared" si="1"/>
        <v>0</v>
      </c>
      <c r="Q17" s="27" t="s">
        <v>64</v>
      </c>
      <c r="R17" s="34" t="s">
        <v>143</v>
      </c>
      <c r="S17" s="41" t="s">
        <v>148</v>
      </c>
    </row>
    <row r="18">
      <c r="A18" s="12"/>
      <c r="B18" s="12"/>
      <c r="C18" s="12"/>
      <c r="D18" s="12"/>
      <c r="E18" s="12"/>
      <c r="G18" s="15"/>
      <c r="H18" s="12"/>
      <c r="I18" s="12"/>
      <c r="J18" s="16"/>
      <c r="K18" s="13">
        <v>46056.0</v>
      </c>
      <c r="L18" s="27" t="s">
        <v>139</v>
      </c>
      <c r="M18" s="27" t="s">
        <v>136</v>
      </c>
      <c r="N18" s="21"/>
      <c r="O18" s="19"/>
      <c r="P18" s="19">
        <f t="shared" si="1"/>
        <v>0</v>
      </c>
      <c r="Q18" s="27" t="s">
        <v>64</v>
      </c>
      <c r="R18" s="40"/>
      <c r="S18" s="40"/>
    </row>
    <row r="19">
      <c r="A19" s="12"/>
      <c r="B19" s="12"/>
      <c r="C19" s="12"/>
      <c r="D19" s="12"/>
      <c r="E19" s="12"/>
      <c r="G19" s="15"/>
      <c r="H19" s="12"/>
      <c r="I19" s="12"/>
      <c r="J19" s="16"/>
      <c r="K19" s="13">
        <v>46059.0</v>
      </c>
      <c r="L19" s="27" t="s">
        <v>154</v>
      </c>
      <c r="M19" s="27" t="s">
        <v>155</v>
      </c>
      <c r="N19" s="21"/>
      <c r="O19" s="19"/>
      <c r="P19" s="19">
        <f t="shared" si="1"/>
        <v>0</v>
      </c>
      <c r="Q19" s="27" t="s">
        <v>64</v>
      </c>
      <c r="R19" s="34" t="s">
        <v>159</v>
      </c>
      <c r="S19" s="41" t="s">
        <v>161</v>
      </c>
    </row>
    <row r="20">
      <c r="A20" s="12"/>
      <c r="B20" s="12"/>
      <c r="C20" s="12"/>
      <c r="D20" s="12"/>
      <c r="E20" s="12"/>
      <c r="G20" s="15"/>
      <c r="H20" s="12"/>
      <c r="I20" s="12"/>
      <c r="J20" s="16"/>
      <c r="K20" s="13">
        <v>46059.0</v>
      </c>
      <c r="L20" s="27" t="s">
        <v>154</v>
      </c>
      <c r="M20" s="27" t="s">
        <v>136</v>
      </c>
      <c r="N20" s="21"/>
      <c r="O20" s="19"/>
      <c r="P20" s="19">
        <f t="shared" si="1"/>
        <v>0</v>
      </c>
      <c r="Q20" s="27" t="s">
        <v>64</v>
      </c>
      <c r="R20" s="40"/>
      <c r="S20" s="40"/>
    </row>
    <row r="21">
      <c r="A21" s="12"/>
      <c r="B21" s="12"/>
      <c r="C21" s="12"/>
      <c r="D21" s="12"/>
      <c r="E21" s="12"/>
      <c r="G21" s="15"/>
      <c r="H21" s="12"/>
      <c r="I21" s="12"/>
      <c r="J21" s="16"/>
      <c r="K21" s="13">
        <v>46063.0</v>
      </c>
      <c r="L21" s="27" t="s">
        <v>173</v>
      </c>
      <c r="M21" s="27" t="s">
        <v>174</v>
      </c>
      <c r="N21" s="21"/>
      <c r="O21" s="19"/>
      <c r="P21" s="19">
        <f t="shared" si="1"/>
        <v>0</v>
      </c>
      <c r="Q21" s="27" t="s">
        <v>64</v>
      </c>
      <c r="R21" s="34" t="s">
        <v>176</v>
      </c>
      <c r="S21" s="41" t="s">
        <v>177</v>
      </c>
    </row>
    <row r="22">
      <c r="A22" s="12"/>
      <c r="B22" s="12"/>
      <c r="C22" s="12"/>
      <c r="D22" s="12"/>
      <c r="E22" s="12"/>
      <c r="G22" s="15"/>
      <c r="H22" s="12"/>
      <c r="I22" s="12"/>
      <c r="J22" s="16"/>
      <c r="K22" s="13">
        <v>46063.0</v>
      </c>
      <c r="L22" s="27" t="s">
        <v>173</v>
      </c>
      <c r="M22" s="27" t="s">
        <v>178</v>
      </c>
      <c r="N22" s="21"/>
      <c r="O22" s="19"/>
      <c r="P22" s="19">
        <f t="shared" si="1"/>
        <v>0</v>
      </c>
      <c r="Q22" s="27" t="s">
        <v>64</v>
      </c>
      <c r="R22" s="37"/>
      <c r="S22" s="37"/>
    </row>
    <row r="23">
      <c r="A23" s="12"/>
      <c r="B23" s="12"/>
      <c r="C23" s="12"/>
      <c r="D23" s="12"/>
      <c r="E23" s="12"/>
      <c r="G23" s="15"/>
      <c r="H23" s="12"/>
      <c r="I23" s="12"/>
      <c r="J23" s="16"/>
      <c r="K23" s="13">
        <v>46063.0</v>
      </c>
      <c r="L23" s="27" t="s">
        <v>173</v>
      </c>
      <c r="M23" s="27" t="s">
        <v>136</v>
      </c>
      <c r="N23" s="21"/>
      <c r="O23" s="19"/>
      <c r="P23" s="19">
        <f t="shared" si="1"/>
        <v>0</v>
      </c>
      <c r="Q23" s="27" t="s">
        <v>64</v>
      </c>
      <c r="R23" s="40"/>
      <c r="S23" s="40"/>
    </row>
    <row r="24">
      <c r="A24" s="12"/>
      <c r="B24" s="12"/>
      <c r="C24" s="12"/>
      <c r="D24" s="12"/>
      <c r="E24" s="12"/>
      <c r="G24" s="15"/>
      <c r="H24" s="12"/>
      <c r="I24" s="12"/>
      <c r="J24" s="16"/>
      <c r="K24" s="13">
        <v>46065.0</v>
      </c>
      <c r="L24" s="27" t="s">
        <v>188</v>
      </c>
      <c r="M24" s="27" t="s">
        <v>189</v>
      </c>
      <c r="N24" s="21"/>
      <c r="O24" s="19"/>
      <c r="P24" s="19">
        <f t="shared" si="1"/>
        <v>0</v>
      </c>
      <c r="Q24" s="27" t="s">
        <v>64</v>
      </c>
      <c r="R24" s="34" t="s">
        <v>190</v>
      </c>
      <c r="S24" s="41" t="s">
        <v>193</v>
      </c>
    </row>
    <row r="25">
      <c r="A25" s="12"/>
      <c r="B25" s="12"/>
      <c r="C25" s="12"/>
      <c r="D25" s="12"/>
      <c r="E25" s="12"/>
      <c r="G25" s="15"/>
      <c r="H25" s="12"/>
      <c r="I25" s="12"/>
      <c r="J25" s="16"/>
      <c r="K25" s="13">
        <v>46065.0</v>
      </c>
      <c r="L25" s="27" t="s">
        <v>188</v>
      </c>
      <c r="M25" s="27" t="s">
        <v>196</v>
      </c>
      <c r="N25" s="21"/>
      <c r="O25" s="19"/>
      <c r="P25" s="19">
        <f t="shared" si="1"/>
        <v>0</v>
      </c>
      <c r="Q25" s="27" t="s">
        <v>64</v>
      </c>
      <c r="R25" s="40"/>
      <c r="S25" s="40"/>
    </row>
    <row r="26">
      <c r="A26" s="12"/>
      <c r="B26" s="12"/>
      <c r="C26" s="12"/>
      <c r="D26" s="12"/>
      <c r="E26" s="12"/>
      <c r="G26" s="15"/>
      <c r="H26" s="12"/>
      <c r="I26" s="12"/>
      <c r="J26" s="16"/>
      <c r="K26" s="13">
        <v>46071.0</v>
      </c>
      <c r="L26" s="27" t="s">
        <v>200</v>
      </c>
      <c r="M26" s="27" t="s">
        <v>201</v>
      </c>
      <c r="N26" s="21"/>
      <c r="O26" s="19"/>
      <c r="P26" s="19">
        <f t="shared" si="1"/>
        <v>0</v>
      </c>
      <c r="Q26" s="27" t="s">
        <v>64</v>
      </c>
      <c r="R26" s="34" t="s">
        <v>202</v>
      </c>
      <c r="S26" s="41" t="s">
        <v>161</v>
      </c>
    </row>
    <row r="27">
      <c r="A27" s="12"/>
      <c r="B27" s="12"/>
      <c r="C27" s="12"/>
      <c r="D27" s="12"/>
      <c r="E27" s="12"/>
      <c r="G27" s="15"/>
      <c r="H27" s="12"/>
      <c r="I27" s="12"/>
      <c r="J27" s="16"/>
      <c r="K27" s="13">
        <v>46071.0</v>
      </c>
      <c r="L27" s="27" t="s">
        <v>200</v>
      </c>
      <c r="M27" s="27" t="s">
        <v>136</v>
      </c>
      <c r="N27" s="21"/>
      <c r="O27" s="19"/>
      <c r="P27" s="19">
        <f t="shared" si="1"/>
        <v>0</v>
      </c>
      <c r="Q27" s="27" t="s">
        <v>64</v>
      </c>
      <c r="R27" s="37"/>
      <c r="S27" s="37"/>
    </row>
    <row r="28">
      <c r="A28" s="12"/>
      <c r="B28" s="12"/>
      <c r="C28" s="12"/>
      <c r="D28" s="12"/>
      <c r="E28" s="12"/>
      <c r="G28" s="15"/>
      <c r="H28" s="12"/>
      <c r="I28" s="12"/>
      <c r="J28" s="16"/>
      <c r="K28" s="13">
        <v>46071.0</v>
      </c>
      <c r="L28" s="27" t="s">
        <v>200</v>
      </c>
      <c r="M28" s="19" t="s">
        <v>206</v>
      </c>
      <c r="N28" s="21"/>
      <c r="O28" s="19"/>
      <c r="P28" s="19">
        <f t="shared" si="1"/>
        <v>0</v>
      </c>
      <c r="Q28" s="27" t="s">
        <v>64</v>
      </c>
      <c r="R28" s="40"/>
      <c r="S28" s="40"/>
    </row>
    <row r="29">
      <c r="J29" s="16"/>
      <c r="K29" s="13">
        <v>46085.0</v>
      </c>
      <c r="L29" s="27" t="s">
        <v>207</v>
      </c>
      <c r="M29" s="27" t="s">
        <v>208</v>
      </c>
      <c r="N29" s="21"/>
      <c r="O29" s="19"/>
      <c r="P29" s="19">
        <f t="shared" si="1"/>
        <v>0</v>
      </c>
      <c r="Q29" s="27" t="s">
        <v>64</v>
      </c>
      <c r="R29" s="34" t="s">
        <v>212</v>
      </c>
      <c r="S29" s="43" t="s">
        <v>213</v>
      </c>
    </row>
    <row r="30">
      <c r="J30" s="16"/>
      <c r="K30" s="13">
        <v>46085.0</v>
      </c>
      <c r="L30" s="27" t="s">
        <v>207</v>
      </c>
      <c r="M30" s="27" t="s">
        <v>136</v>
      </c>
      <c r="N30" s="21"/>
      <c r="O30" s="19"/>
      <c r="P30" s="19">
        <f t="shared" si="1"/>
        <v>0</v>
      </c>
      <c r="Q30" s="27" t="s">
        <v>64</v>
      </c>
      <c r="R30" s="40"/>
      <c r="S30" s="40"/>
    </row>
    <row r="31">
      <c r="J31" s="16"/>
      <c r="K31" s="13">
        <v>46086.0</v>
      </c>
      <c r="L31" s="27" t="s">
        <v>217</v>
      </c>
      <c r="M31" s="27" t="s">
        <v>54</v>
      </c>
      <c r="N31" s="21"/>
      <c r="O31" s="19"/>
      <c r="P31" s="19">
        <f t="shared" si="1"/>
        <v>0</v>
      </c>
      <c r="Q31" s="27" t="s">
        <v>64</v>
      </c>
      <c r="R31" s="34" t="s">
        <v>219</v>
      </c>
      <c r="S31" s="41" t="s">
        <v>220</v>
      </c>
    </row>
    <row r="32">
      <c r="J32" s="16"/>
      <c r="K32" s="13">
        <v>46086.0</v>
      </c>
      <c r="L32" s="27" t="s">
        <v>217</v>
      </c>
      <c r="M32" s="27" t="s">
        <v>223</v>
      </c>
      <c r="N32" s="21"/>
      <c r="O32" s="19"/>
      <c r="P32" s="19">
        <f t="shared" si="1"/>
        <v>0</v>
      </c>
      <c r="Q32" s="27" t="s">
        <v>64</v>
      </c>
      <c r="R32" s="40"/>
      <c r="S32" s="40"/>
    </row>
    <row r="33">
      <c r="J33" s="16"/>
      <c r="K33" s="13">
        <v>46092.0</v>
      </c>
      <c r="L33" s="27" t="s">
        <v>225</v>
      </c>
      <c r="M33" s="27" t="s">
        <v>55</v>
      </c>
      <c r="N33" s="21"/>
      <c r="O33" s="19"/>
      <c r="P33" s="19">
        <f t="shared" si="1"/>
        <v>0</v>
      </c>
      <c r="Q33" s="27" t="s">
        <v>64</v>
      </c>
      <c r="R33" s="34" t="s">
        <v>226</v>
      </c>
      <c r="S33" s="41" t="s">
        <v>231</v>
      </c>
    </row>
    <row r="34">
      <c r="J34" s="16"/>
      <c r="K34" s="13">
        <v>46092.0</v>
      </c>
      <c r="L34" s="27" t="s">
        <v>225</v>
      </c>
      <c r="M34" s="27" t="s">
        <v>232</v>
      </c>
      <c r="N34" s="21"/>
      <c r="O34" s="19"/>
      <c r="P34" s="19">
        <f t="shared" si="1"/>
        <v>0</v>
      </c>
      <c r="Q34" s="27" t="s">
        <v>64</v>
      </c>
      <c r="R34" s="37"/>
      <c r="S34" s="37"/>
    </row>
    <row r="35">
      <c r="K35" s="13">
        <v>46092.0</v>
      </c>
      <c r="L35" s="27" t="s">
        <v>225</v>
      </c>
      <c r="M35" s="27" t="s">
        <v>136</v>
      </c>
      <c r="N35" s="21"/>
      <c r="O35" s="19"/>
      <c r="P35" s="19">
        <f t="shared" si="1"/>
        <v>0</v>
      </c>
      <c r="Q35" s="27" t="s">
        <v>64</v>
      </c>
      <c r="R35" s="40"/>
      <c r="S35" s="40"/>
    </row>
    <row r="36">
      <c r="K36" s="26">
        <v>46094.0</v>
      </c>
      <c r="L36" s="27"/>
      <c r="M36" s="27" t="s">
        <v>235</v>
      </c>
      <c r="N36" s="21"/>
      <c r="O36" s="21"/>
      <c r="P36" s="19">
        <f t="shared" si="1"/>
        <v>0</v>
      </c>
      <c r="Q36" s="27"/>
      <c r="R36" s="27"/>
      <c r="S36" s="27"/>
    </row>
    <row r="37">
      <c r="K37" s="26">
        <v>46094.0</v>
      </c>
      <c r="L37" s="27"/>
      <c r="M37" s="27" t="s">
        <v>136</v>
      </c>
      <c r="N37" s="21"/>
      <c r="O37" s="21"/>
      <c r="P37" s="19">
        <f t="shared" si="1"/>
        <v>0</v>
      </c>
      <c r="Q37" s="27"/>
      <c r="R37" s="27"/>
      <c r="S37" s="27"/>
    </row>
    <row r="38">
      <c r="K38" s="26">
        <v>46097.0</v>
      </c>
      <c r="L38" s="27"/>
      <c r="M38" s="27" t="s">
        <v>55</v>
      </c>
      <c r="N38" s="21"/>
      <c r="O38" s="21"/>
      <c r="P38" s="19">
        <f t="shared" si="1"/>
        <v>0</v>
      </c>
      <c r="Q38" s="27"/>
      <c r="R38" s="27"/>
      <c r="S38" s="27"/>
    </row>
    <row r="39">
      <c r="K39" s="26">
        <v>46097.0</v>
      </c>
      <c r="L39" s="27"/>
      <c r="M39" s="27" t="s">
        <v>238</v>
      </c>
      <c r="N39" s="21"/>
      <c r="O39" s="21"/>
      <c r="P39" s="19">
        <f t="shared" si="1"/>
        <v>0</v>
      </c>
      <c r="Q39" s="27"/>
      <c r="R39" s="27"/>
      <c r="S39" s="27"/>
    </row>
    <row r="40">
      <c r="K40" s="26">
        <v>46097.0</v>
      </c>
      <c r="L40" s="27"/>
      <c r="M40" s="27" t="s">
        <v>232</v>
      </c>
      <c r="N40" s="21"/>
      <c r="O40" s="21"/>
      <c r="P40" s="19">
        <f t="shared" si="1"/>
        <v>0</v>
      </c>
      <c r="Q40" s="27"/>
      <c r="R40" s="27"/>
      <c r="S40" s="27"/>
    </row>
    <row r="41">
      <c r="K41" s="26">
        <v>46097.0</v>
      </c>
      <c r="L41" s="27"/>
      <c r="M41" s="27" t="s">
        <v>136</v>
      </c>
      <c r="N41" s="21"/>
      <c r="O41" s="21"/>
      <c r="P41" s="19">
        <f t="shared" si="1"/>
        <v>0</v>
      </c>
      <c r="Q41" s="27"/>
      <c r="R41" s="27"/>
      <c r="S41" s="27"/>
    </row>
    <row r="42">
      <c r="K42" s="26">
        <v>46100.0</v>
      </c>
      <c r="L42" s="27"/>
      <c r="M42" s="27" t="s">
        <v>240</v>
      </c>
      <c r="N42" s="21"/>
      <c r="O42" s="21"/>
      <c r="P42" s="19">
        <f t="shared" si="1"/>
        <v>0</v>
      </c>
      <c r="Q42" s="27"/>
      <c r="R42" s="27"/>
      <c r="S42" s="27"/>
    </row>
    <row r="43">
      <c r="K43" s="26">
        <v>46100.0</v>
      </c>
      <c r="L43" s="27"/>
      <c r="M43" s="27" t="s">
        <v>136</v>
      </c>
      <c r="N43" s="21"/>
      <c r="O43" s="21"/>
      <c r="P43" s="19">
        <f t="shared" si="1"/>
        <v>0</v>
      </c>
      <c r="Q43" s="27"/>
      <c r="R43" s="27"/>
      <c r="S43" s="27"/>
    </row>
    <row r="44">
      <c r="K44" s="26">
        <v>46100.0</v>
      </c>
      <c r="L44" s="27"/>
      <c r="M44" s="27" t="s">
        <v>47</v>
      </c>
      <c r="N44" s="21"/>
      <c r="O44" s="48"/>
      <c r="P44" s="19">
        <f t="shared" si="1"/>
        <v>0</v>
      </c>
      <c r="Q44" s="27"/>
      <c r="R44" s="27"/>
      <c r="S44" s="27"/>
    </row>
    <row r="45">
      <c r="K45" s="26">
        <v>46105.0</v>
      </c>
      <c r="L45" s="27"/>
      <c r="M45" s="27" t="s">
        <v>249</v>
      </c>
      <c r="N45" s="21"/>
      <c r="O45" s="21"/>
      <c r="P45" s="19">
        <f t="shared" si="1"/>
        <v>0</v>
      </c>
      <c r="Q45" s="27"/>
      <c r="R45" s="27"/>
      <c r="S45" s="27"/>
    </row>
    <row r="46">
      <c r="K46" s="26">
        <v>46105.0</v>
      </c>
      <c r="L46" s="27"/>
      <c r="M46" s="27" t="s">
        <v>251</v>
      </c>
      <c r="N46" s="21"/>
      <c r="O46" s="21"/>
      <c r="P46" s="19">
        <f t="shared" si="1"/>
        <v>0</v>
      </c>
      <c r="Q46" s="27"/>
      <c r="R46" s="27"/>
      <c r="S46" s="27"/>
    </row>
    <row r="47">
      <c r="K47" s="26">
        <v>46105.0</v>
      </c>
      <c r="L47" s="27"/>
      <c r="M47" s="27" t="s">
        <v>68</v>
      </c>
      <c r="N47" s="21"/>
      <c r="O47" s="21"/>
      <c r="P47" s="19">
        <f t="shared" si="1"/>
        <v>0</v>
      </c>
      <c r="Q47" s="27"/>
      <c r="R47" s="27"/>
      <c r="S47" s="27"/>
    </row>
    <row r="48">
      <c r="K48" s="26">
        <v>46106.0</v>
      </c>
      <c r="L48" s="27"/>
      <c r="M48" s="27" t="s">
        <v>223</v>
      </c>
      <c r="N48" s="21"/>
      <c r="O48" s="21"/>
      <c r="P48" s="19">
        <f t="shared" si="1"/>
        <v>0</v>
      </c>
      <c r="Q48" s="27"/>
      <c r="R48" s="27"/>
      <c r="S48" s="27"/>
    </row>
    <row r="49">
      <c r="K49" s="26">
        <v>46107.0</v>
      </c>
      <c r="L49" s="27"/>
      <c r="M49" s="27" t="s">
        <v>255</v>
      </c>
      <c r="N49" s="21"/>
      <c r="O49" s="21"/>
      <c r="P49" s="19">
        <f t="shared" si="1"/>
        <v>0</v>
      </c>
      <c r="Q49" s="27"/>
      <c r="R49" s="27"/>
      <c r="S49" s="27"/>
    </row>
    <row r="50">
      <c r="K50" s="51">
        <v>46113.0</v>
      </c>
      <c r="L50" s="27"/>
      <c r="M50" s="27" t="s">
        <v>240</v>
      </c>
      <c r="N50" s="21"/>
      <c r="O50" s="21"/>
      <c r="P50" s="19">
        <f t="shared" si="1"/>
        <v>0</v>
      </c>
      <c r="Q50" s="27"/>
      <c r="R50" s="27"/>
      <c r="S50" s="27"/>
    </row>
    <row r="51">
      <c r="K51" s="51">
        <v>46113.0</v>
      </c>
      <c r="L51" s="27"/>
      <c r="M51" s="27" t="s">
        <v>136</v>
      </c>
      <c r="N51" s="21"/>
      <c r="O51" s="21"/>
      <c r="P51" s="19">
        <f t="shared" si="1"/>
        <v>0</v>
      </c>
      <c r="Q51" s="27"/>
      <c r="R51" s="27"/>
      <c r="S51" s="27"/>
    </row>
    <row r="52">
      <c r="K52" s="51">
        <v>46120.0</v>
      </c>
      <c r="L52" s="27"/>
      <c r="M52" s="27" t="s">
        <v>68</v>
      </c>
      <c r="N52" s="21"/>
      <c r="O52" s="21"/>
      <c r="P52" s="19">
        <f t="shared" si="1"/>
        <v>0</v>
      </c>
      <c r="Q52" s="27"/>
      <c r="R52" s="27"/>
      <c r="S52" s="27"/>
    </row>
    <row r="53">
      <c r="K53" s="51">
        <v>46121.0</v>
      </c>
      <c r="L53" s="27"/>
      <c r="M53" s="27" t="s">
        <v>189</v>
      </c>
      <c r="N53" s="21"/>
      <c r="O53" s="21"/>
      <c r="P53" s="19">
        <f t="shared" si="1"/>
        <v>0</v>
      </c>
      <c r="Q53" s="27"/>
      <c r="R53" s="27"/>
      <c r="S53" s="27"/>
    </row>
    <row r="54">
      <c r="K54" s="51">
        <v>46121.0</v>
      </c>
      <c r="L54" s="27"/>
      <c r="M54" s="27" t="s">
        <v>271</v>
      </c>
      <c r="N54" s="21"/>
      <c r="O54" s="21"/>
      <c r="P54" s="19">
        <f t="shared" si="1"/>
        <v>0</v>
      </c>
      <c r="Q54" s="27"/>
      <c r="R54" s="27"/>
      <c r="S54" s="27"/>
    </row>
    <row r="55">
      <c r="K55" s="26">
        <v>46127.0</v>
      </c>
      <c r="L55" s="27"/>
      <c r="M55" s="27" t="s">
        <v>68</v>
      </c>
      <c r="N55" s="21"/>
      <c r="O55" s="21"/>
      <c r="P55" s="19">
        <f t="shared" si="1"/>
        <v>0</v>
      </c>
      <c r="Q55" s="27"/>
      <c r="R55" s="27"/>
      <c r="S55" s="27"/>
    </row>
    <row r="56">
      <c r="K56" s="26">
        <v>46127.0</v>
      </c>
      <c r="L56" s="27"/>
      <c r="M56" s="27" t="s">
        <v>276</v>
      </c>
      <c r="N56" s="21"/>
      <c r="O56" s="21"/>
      <c r="P56" s="19">
        <f t="shared" si="1"/>
        <v>0</v>
      </c>
      <c r="Q56" s="27"/>
      <c r="R56" s="27"/>
      <c r="S56" s="27"/>
    </row>
    <row r="57">
      <c r="K57" s="26">
        <v>46133.0</v>
      </c>
      <c r="L57" s="27"/>
      <c r="M57" s="27" t="s">
        <v>277</v>
      </c>
      <c r="N57" s="21"/>
      <c r="O57" s="21"/>
      <c r="P57" s="19">
        <f t="shared" si="1"/>
        <v>0</v>
      </c>
      <c r="Q57" s="27"/>
      <c r="R57" s="27"/>
      <c r="S57" s="27"/>
    </row>
    <row r="58">
      <c r="K58" s="26">
        <v>46134.0</v>
      </c>
      <c r="L58" s="27"/>
      <c r="M58" s="27" t="s">
        <v>189</v>
      </c>
      <c r="N58" s="21"/>
      <c r="O58" s="21"/>
      <c r="P58" s="19">
        <f t="shared" si="1"/>
        <v>0</v>
      </c>
      <c r="Q58" s="27"/>
      <c r="R58" s="27"/>
      <c r="S58" s="27"/>
    </row>
    <row r="59">
      <c r="K59" s="26">
        <v>46134.0</v>
      </c>
      <c r="L59" s="27"/>
      <c r="M59" s="27" t="s">
        <v>281</v>
      </c>
      <c r="N59" s="21"/>
      <c r="O59" s="21"/>
      <c r="P59" s="19">
        <v>7980.01</v>
      </c>
      <c r="Q59" s="27"/>
      <c r="R59" s="27"/>
      <c r="S59" s="27"/>
    </row>
    <row r="60">
      <c r="K60" s="57">
        <v>46143.0</v>
      </c>
      <c r="L60" s="27"/>
      <c r="M60" s="27" t="s">
        <v>255</v>
      </c>
      <c r="N60" s="21"/>
      <c r="O60" s="21">
        <v>85.0</v>
      </c>
      <c r="P60" s="19">
        <f t="shared" ref="P60:P208" si="2">P59+N60-O60</f>
        <v>7895.01</v>
      </c>
      <c r="Q60" s="27"/>
      <c r="R60" s="27"/>
      <c r="S60" s="27"/>
    </row>
    <row r="61">
      <c r="K61" s="57">
        <v>46147.0</v>
      </c>
      <c r="L61" s="27"/>
      <c r="M61" s="27" t="s">
        <v>189</v>
      </c>
      <c r="N61" s="21"/>
      <c r="O61" s="21">
        <v>235.0</v>
      </c>
      <c r="P61" s="19">
        <f t="shared" si="2"/>
        <v>7660.01</v>
      </c>
      <c r="Q61" s="27"/>
      <c r="R61" s="27"/>
      <c r="S61" s="27"/>
    </row>
    <row r="62">
      <c r="K62" s="57">
        <v>46147.0</v>
      </c>
      <c r="L62" s="12"/>
      <c r="M62" s="21" t="s">
        <v>138</v>
      </c>
      <c r="N62" s="21"/>
      <c r="O62" s="21">
        <v>150.0</v>
      </c>
      <c r="P62" s="19">
        <f t="shared" si="2"/>
        <v>7510.01</v>
      </c>
      <c r="Q62" s="12"/>
      <c r="R62" s="12"/>
      <c r="S62" s="12"/>
    </row>
    <row r="63">
      <c r="K63" s="61">
        <v>46168.0</v>
      </c>
      <c r="L63" s="12"/>
      <c r="M63" s="21" t="s">
        <v>55</v>
      </c>
      <c r="N63" s="21"/>
      <c r="O63" s="21">
        <v>399.0</v>
      </c>
      <c r="P63" s="19">
        <f t="shared" si="2"/>
        <v>7111.01</v>
      </c>
      <c r="Q63" s="12"/>
      <c r="R63" s="12"/>
      <c r="S63" s="12"/>
    </row>
    <row r="64">
      <c r="K64" s="61">
        <v>46168.0</v>
      </c>
      <c r="L64" s="12"/>
      <c r="M64" s="21" t="s">
        <v>313</v>
      </c>
      <c r="N64" s="21"/>
      <c r="O64" s="21">
        <v>119.0</v>
      </c>
      <c r="P64" s="19">
        <f t="shared" si="2"/>
        <v>6992.01</v>
      </c>
      <c r="Q64" s="12"/>
      <c r="R64" s="12"/>
      <c r="S64" s="12"/>
    </row>
    <row r="65">
      <c r="K65" s="61">
        <v>46168.0</v>
      </c>
      <c r="L65" s="12"/>
      <c r="M65" s="21" t="s">
        <v>160</v>
      </c>
      <c r="N65" s="21"/>
      <c r="O65" s="21">
        <v>85.0</v>
      </c>
      <c r="P65" s="19">
        <f t="shared" si="2"/>
        <v>6907.01</v>
      </c>
      <c r="Q65" s="12"/>
      <c r="R65" s="12"/>
      <c r="S65" s="12"/>
    </row>
    <row r="66">
      <c r="K66" s="61">
        <v>46168.0</v>
      </c>
      <c r="L66" s="12"/>
      <c r="M66" s="21" t="s">
        <v>119</v>
      </c>
      <c r="N66" s="21"/>
      <c r="O66" s="21">
        <v>229.0</v>
      </c>
      <c r="P66" s="19">
        <f t="shared" si="2"/>
        <v>6678.01</v>
      </c>
      <c r="Q66" s="12"/>
      <c r="R66" s="12"/>
      <c r="S66" s="12"/>
    </row>
    <row r="67">
      <c r="K67" s="61">
        <v>46183.0</v>
      </c>
      <c r="L67" s="12"/>
      <c r="M67" s="21" t="s">
        <v>250</v>
      </c>
      <c r="N67" s="21"/>
      <c r="O67" s="21">
        <v>126.0</v>
      </c>
      <c r="P67" s="19">
        <f t="shared" si="2"/>
        <v>6552.01</v>
      </c>
      <c r="Q67" s="12"/>
      <c r="R67" s="12"/>
      <c r="S67" s="12"/>
    </row>
    <row r="68">
      <c r="K68" s="61">
        <v>46183.0</v>
      </c>
      <c r="L68" s="12"/>
      <c r="M68" s="21" t="s">
        <v>326</v>
      </c>
      <c r="N68" s="21"/>
      <c r="O68" s="21">
        <v>126.0</v>
      </c>
      <c r="P68" s="19">
        <f t="shared" si="2"/>
        <v>6426.01</v>
      </c>
      <c r="Q68" s="12"/>
      <c r="R68" s="12"/>
      <c r="S68" s="12"/>
    </row>
    <row r="69">
      <c r="K69" s="61">
        <v>46195.0</v>
      </c>
      <c r="L69" s="12"/>
      <c r="M69" s="21" t="s">
        <v>249</v>
      </c>
      <c r="N69" s="21"/>
      <c r="O69" s="21">
        <v>323.0</v>
      </c>
      <c r="P69" s="19">
        <f t="shared" si="2"/>
        <v>6103.01</v>
      </c>
      <c r="Q69" s="12"/>
      <c r="R69" s="12"/>
      <c r="S69" s="12"/>
    </row>
    <row r="70">
      <c r="K70" s="61">
        <v>46195.0</v>
      </c>
      <c r="L70" s="21"/>
      <c r="M70" s="21" t="s">
        <v>334</v>
      </c>
      <c r="N70" s="21"/>
      <c r="O70" s="21">
        <v>171.0</v>
      </c>
      <c r="P70" s="19">
        <f t="shared" si="2"/>
        <v>5932.01</v>
      </c>
      <c r="Q70" s="12"/>
      <c r="R70" s="12"/>
      <c r="S70" s="12"/>
    </row>
    <row r="71">
      <c r="K71" s="61">
        <v>46198.0</v>
      </c>
      <c r="L71" s="21"/>
      <c r="M71" s="21" t="s">
        <v>258</v>
      </c>
      <c r="N71" s="21"/>
      <c r="O71" s="21">
        <v>126.0</v>
      </c>
      <c r="P71" s="19">
        <f t="shared" si="2"/>
        <v>5806.01</v>
      </c>
      <c r="Q71" s="12"/>
      <c r="R71" s="12"/>
      <c r="S71" s="12"/>
    </row>
    <row r="72">
      <c r="K72" s="61">
        <v>46198.0</v>
      </c>
      <c r="L72" s="21"/>
      <c r="M72" s="21" t="s">
        <v>326</v>
      </c>
      <c r="N72" s="21"/>
      <c r="O72" s="21">
        <v>126.0</v>
      </c>
      <c r="P72" s="19">
        <f t="shared" si="2"/>
        <v>5680.01</v>
      </c>
      <c r="Q72" s="12"/>
      <c r="R72" s="12"/>
      <c r="S72" s="12"/>
    </row>
    <row r="73">
      <c r="K73" s="61">
        <v>46202.0</v>
      </c>
      <c r="L73" s="21"/>
      <c r="M73" s="21" t="s">
        <v>119</v>
      </c>
      <c r="N73" s="21"/>
      <c r="O73" s="21">
        <v>49.0</v>
      </c>
      <c r="P73" s="19">
        <f t="shared" si="2"/>
        <v>5631.01</v>
      </c>
      <c r="Q73" s="12"/>
      <c r="R73" s="12"/>
      <c r="S73" s="12"/>
    </row>
    <row r="74">
      <c r="K74" s="51">
        <v>46209.0</v>
      </c>
      <c r="L74" s="21"/>
      <c r="M74" s="21" t="s">
        <v>123</v>
      </c>
      <c r="N74" s="21"/>
      <c r="O74" s="21">
        <v>314.0</v>
      </c>
      <c r="P74" s="19">
        <f t="shared" si="2"/>
        <v>5317.01</v>
      </c>
      <c r="Q74" s="12"/>
      <c r="R74" s="12"/>
      <c r="S74" s="12"/>
    </row>
    <row r="75">
      <c r="K75" s="51">
        <v>46209.0</v>
      </c>
      <c r="L75" s="21"/>
      <c r="M75" s="21" t="s">
        <v>360</v>
      </c>
      <c r="N75" s="21"/>
      <c r="O75" s="21">
        <v>119.0</v>
      </c>
      <c r="P75" s="19">
        <f t="shared" si="2"/>
        <v>5198.01</v>
      </c>
      <c r="Q75" s="12"/>
      <c r="R75" s="12"/>
      <c r="S75" s="12"/>
    </row>
    <row r="76">
      <c r="K76" s="51">
        <v>46209.0</v>
      </c>
      <c r="L76" s="21"/>
      <c r="M76" s="21" t="s">
        <v>365</v>
      </c>
      <c r="N76" s="21"/>
      <c r="O76" s="21">
        <v>119.0</v>
      </c>
      <c r="P76" s="19">
        <f t="shared" si="2"/>
        <v>5079.01</v>
      </c>
      <c r="Q76" s="12"/>
      <c r="R76" s="12"/>
      <c r="S76" s="12"/>
    </row>
    <row r="77">
      <c r="K77" s="51">
        <v>46209.0</v>
      </c>
      <c r="L77" s="21"/>
      <c r="M77" s="21" t="s">
        <v>369</v>
      </c>
      <c r="N77" s="21"/>
      <c r="O77" s="21">
        <v>85.0</v>
      </c>
      <c r="P77" s="19">
        <f t="shared" si="2"/>
        <v>4994.01</v>
      </c>
      <c r="Q77" s="12"/>
      <c r="R77" s="12"/>
      <c r="S77" s="12"/>
    </row>
    <row r="78">
      <c r="K78" s="51">
        <v>46209.0</v>
      </c>
      <c r="L78" s="21"/>
      <c r="M78" s="21" t="s">
        <v>119</v>
      </c>
      <c r="N78" s="21"/>
      <c r="O78" s="21">
        <v>229.0</v>
      </c>
      <c r="P78" s="19">
        <f t="shared" si="2"/>
        <v>4765.01</v>
      </c>
      <c r="Q78" s="12"/>
      <c r="R78" s="12"/>
      <c r="S78" s="12"/>
    </row>
    <row r="79">
      <c r="K79" s="51">
        <v>46211.0</v>
      </c>
      <c r="L79" s="21"/>
      <c r="M79" s="21" t="s">
        <v>268</v>
      </c>
      <c r="N79" s="21"/>
      <c r="O79" s="21">
        <v>316.0</v>
      </c>
      <c r="P79" s="19">
        <f t="shared" si="2"/>
        <v>4449.01</v>
      </c>
      <c r="Q79" s="12"/>
      <c r="R79" s="12"/>
      <c r="S79" s="12"/>
    </row>
    <row r="80">
      <c r="K80" s="51">
        <v>46212.0</v>
      </c>
      <c r="L80" s="21"/>
      <c r="M80" s="21" t="s">
        <v>223</v>
      </c>
      <c r="N80" s="21"/>
      <c r="O80" s="21">
        <v>316.0</v>
      </c>
      <c r="P80" s="19">
        <f t="shared" si="2"/>
        <v>4133.01</v>
      </c>
      <c r="Q80" s="12"/>
      <c r="R80" s="12"/>
      <c r="S80" s="12"/>
    </row>
    <row r="81">
      <c r="K81" s="26">
        <v>46218.0</v>
      </c>
      <c r="L81" s="21"/>
      <c r="M81" s="21" t="s">
        <v>255</v>
      </c>
      <c r="N81" s="21"/>
      <c r="O81" s="21">
        <v>85.0</v>
      </c>
      <c r="P81" s="19">
        <f t="shared" si="2"/>
        <v>4048.01</v>
      </c>
      <c r="Q81" s="12"/>
      <c r="R81" s="12"/>
      <c r="S81" s="12"/>
    </row>
    <row r="82">
      <c r="K82" s="26">
        <v>46224.0</v>
      </c>
      <c r="L82" s="21"/>
      <c r="M82" s="38" t="s">
        <v>155</v>
      </c>
      <c r="N82" s="21"/>
      <c r="O82" s="21">
        <v>121.0</v>
      </c>
      <c r="P82" s="19">
        <f t="shared" si="2"/>
        <v>3927.01</v>
      </c>
      <c r="Q82" s="12"/>
      <c r="R82" s="12"/>
      <c r="S82" s="12"/>
    </row>
    <row r="83">
      <c r="K83" s="26">
        <v>46224.0</v>
      </c>
      <c r="L83" s="21"/>
      <c r="M83" s="21" t="s">
        <v>223</v>
      </c>
      <c r="N83" s="21"/>
      <c r="O83" s="21">
        <v>284.0</v>
      </c>
      <c r="P83" s="19">
        <f t="shared" si="2"/>
        <v>3643.01</v>
      </c>
      <c r="Q83" s="12"/>
      <c r="R83" s="12"/>
      <c r="S83" s="12"/>
    </row>
    <row r="84">
      <c r="K84" s="26">
        <v>46225.0</v>
      </c>
      <c r="L84" s="21"/>
      <c r="M84" s="21" t="s">
        <v>387</v>
      </c>
      <c r="N84" s="21"/>
      <c r="O84" s="21">
        <v>314.0</v>
      </c>
      <c r="P84" s="19">
        <f t="shared" si="2"/>
        <v>3329.01</v>
      </c>
      <c r="Q84" s="12"/>
      <c r="R84" s="12"/>
      <c r="S84" s="12"/>
    </row>
    <row r="85">
      <c r="K85" s="26">
        <v>46225.0</v>
      </c>
      <c r="L85" s="21"/>
      <c r="M85" s="21" t="s">
        <v>360</v>
      </c>
      <c r="N85" s="21"/>
      <c r="O85" s="21">
        <v>119.0</v>
      </c>
      <c r="P85" s="19">
        <f t="shared" si="2"/>
        <v>3210.01</v>
      </c>
      <c r="Q85" s="12"/>
      <c r="R85" s="12"/>
      <c r="S85" s="12"/>
    </row>
    <row r="86">
      <c r="K86" s="26">
        <v>46225.0</v>
      </c>
      <c r="L86" s="21"/>
      <c r="M86" s="21" t="s">
        <v>160</v>
      </c>
      <c r="N86" s="21"/>
      <c r="O86" s="21">
        <v>85.0</v>
      </c>
      <c r="P86" s="19">
        <f t="shared" si="2"/>
        <v>3125.01</v>
      </c>
      <c r="Q86" s="12"/>
      <c r="R86" s="12"/>
      <c r="S86" s="12"/>
    </row>
    <row r="87">
      <c r="K87" s="26">
        <v>46225.0</v>
      </c>
      <c r="L87" s="21"/>
      <c r="M87" s="21" t="s">
        <v>271</v>
      </c>
      <c r="N87" s="21"/>
      <c r="O87" s="21">
        <v>229.0</v>
      </c>
      <c r="P87" s="19">
        <f t="shared" si="2"/>
        <v>2896.01</v>
      </c>
      <c r="Q87" s="12"/>
      <c r="R87" s="12"/>
      <c r="S87" s="12"/>
    </row>
    <row r="88">
      <c r="K88" s="26">
        <v>46225.0</v>
      </c>
      <c r="L88" s="21"/>
      <c r="M88" s="21" t="s">
        <v>174</v>
      </c>
      <c r="N88" s="21"/>
      <c r="O88" s="21">
        <v>399.0</v>
      </c>
      <c r="P88" s="19">
        <f t="shared" si="2"/>
        <v>2497.01</v>
      </c>
      <c r="Q88" s="12"/>
      <c r="R88" s="12"/>
      <c r="S88" s="12"/>
    </row>
    <row r="89">
      <c r="K89" s="26">
        <v>46225.0</v>
      </c>
      <c r="L89" s="21"/>
      <c r="M89" s="21" t="s">
        <v>238</v>
      </c>
      <c r="N89" s="21"/>
      <c r="O89" s="21">
        <v>119.0</v>
      </c>
      <c r="P89" s="19">
        <f t="shared" si="2"/>
        <v>2378.01</v>
      </c>
      <c r="Q89" s="12"/>
      <c r="R89" s="12"/>
      <c r="S89" s="12"/>
    </row>
    <row r="90">
      <c r="K90" s="26">
        <v>46225.0</v>
      </c>
      <c r="L90" s="21"/>
      <c r="M90" s="21" t="s">
        <v>117</v>
      </c>
      <c r="N90" s="21"/>
      <c r="O90" s="21">
        <v>85.0</v>
      </c>
      <c r="P90" s="19">
        <f t="shared" si="2"/>
        <v>2293.01</v>
      </c>
      <c r="Q90" s="12"/>
      <c r="R90" s="12"/>
      <c r="S90" s="12"/>
    </row>
    <row r="91">
      <c r="K91" s="26">
        <v>46225.0</v>
      </c>
      <c r="L91" s="21"/>
      <c r="M91" s="21" t="s">
        <v>138</v>
      </c>
      <c r="N91" s="21"/>
      <c r="O91" s="21">
        <v>229.0</v>
      </c>
      <c r="P91" s="19">
        <f t="shared" si="2"/>
        <v>2064.01</v>
      </c>
      <c r="Q91" s="12"/>
      <c r="R91" s="12"/>
      <c r="S91" s="12"/>
    </row>
    <row r="92">
      <c r="K92" s="26">
        <v>46226.0</v>
      </c>
      <c r="L92" s="21"/>
      <c r="M92" s="21" t="s">
        <v>174</v>
      </c>
      <c r="N92" s="21"/>
      <c r="O92" s="21">
        <v>314.0</v>
      </c>
      <c r="P92" s="19">
        <f t="shared" si="2"/>
        <v>1750.01</v>
      </c>
      <c r="Q92" s="12"/>
      <c r="R92" s="12"/>
      <c r="S92" s="12"/>
    </row>
    <row r="93">
      <c r="K93" s="26">
        <v>46226.0</v>
      </c>
      <c r="L93" s="21"/>
      <c r="M93" s="21" t="s">
        <v>238</v>
      </c>
      <c r="N93" s="21"/>
      <c r="O93" s="21">
        <v>119.0</v>
      </c>
      <c r="P93" s="19">
        <f t="shared" si="2"/>
        <v>1631.01</v>
      </c>
      <c r="Q93" s="12"/>
      <c r="R93" s="12"/>
      <c r="S93" s="12"/>
    </row>
    <row r="94">
      <c r="K94" s="26">
        <v>46226.0</v>
      </c>
      <c r="L94" s="21"/>
      <c r="M94" s="21" t="s">
        <v>367</v>
      </c>
      <c r="N94" s="21"/>
      <c r="O94" s="21">
        <v>85.0</v>
      </c>
      <c r="P94" s="19">
        <f t="shared" si="2"/>
        <v>1546.01</v>
      </c>
      <c r="Q94" s="12"/>
      <c r="R94" s="12"/>
      <c r="S94" s="12"/>
    </row>
    <row r="95">
      <c r="K95" s="26">
        <v>46226.0</v>
      </c>
      <c r="L95" s="21"/>
      <c r="M95" s="21" t="s">
        <v>119</v>
      </c>
      <c r="N95" s="21"/>
      <c r="O95" s="21">
        <v>229.0</v>
      </c>
      <c r="P95" s="19">
        <f t="shared" si="2"/>
        <v>1317.01</v>
      </c>
      <c r="Q95" s="12"/>
      <c r="R95" s="12"/>
      <c r="S95" s="12"/>
    </row>
    <row r="96">
      <c r="K96" s="26">
        <v>46229.0</v>
      </c>
      <c r="L96" s="21"/>
      <c r="M96" s="21" t="s">
        <v>397</v>
      </c>
      <c r="N96" s="21"/>
      <c r="O96" s="21">
        <v>125.0</v>
      </c>
      <c r="P96" s="19">
        <f t="shared" si="2"/>
        <v>1192.01</v>
      </c>
      <c r="Q96" s="12"/>
      <c r="R96" s="12"/>
      <c r="S96" s="12"/>
    </row>
    <row r="97">
      <c r="K97" s="26">
        <v>46229.0</v>
      </c>
      <c r="L97" s="21"/>
      <c r="M97" s="21" t="s">
        <v>255</v>
      </c>
      <c r="N97" s="21"/>
      <c r="O97" s="21">
        <v>39.0</v>
      </c>
      <c r="P97" s="19">
        <f t="shared" si="2"/>
        <v>1153.01</v>
      </c>
      <c r="Q97" s="12"/>
      <c r="R97" s="12"/>
      <c r="S97" s="12"/>
    </row>
    <row r="98">
      <c r="K98" s="26">
        <v>46230.0</v>
      </c>
      <c r="L98" s="21"/>
      <c r="M98" s="21" t="s">
        <v>277</v>
      </c>
      <c r="N98" s="21"/>
      <c r="O98" s="21">
        <v>85.0</v>
      </c>
      <c r="P98" s="19">
        <f t="shared" si="2"/>
        <v>1068.01</v>
      </c>
      <c r="Q98" s="12"/>
      <c r="R98" s="12"/>
      <c r="S98" s="12"/>
    </row>
    <row r="99">
      <c r="K99" s="26">
        <v>46230.0</v>
      </c>
      <c r="L99" s="21"/>
      <c r="M99" s="21" t="s">
        <v>281</v>
      </c>
      <c r="N99" s="21"/>
      <c r="O99" s="21">
        <v>85.0</v>
      </c>
      <c r="P99" s="19">
        <f t="shared" si="2"/>
        <v>983.01</v>
      </c>
      <c r="Q99" s="12"/>
      <c r="R99" s="12"/>
      <c r="S99" s="12"/>
    </row>
    <row r="100">
      <c r="K100" s="26">
        <v>46234.0</v>
      </c>
      <c r="L100" s="21"/>
      <c r="M100" s="21" t="s">
        <v>189</v>
      </c>
      <c r="N100" s="21"/>
      <c r="O100" s="21">
        <v>150.0</v>
      </c>
      <c r="P100" s="19">
        <f t="shared" si="2"/>
        <v>833.01</v>
      </c>
      <c r="Q100" s="12"/>
      <c r="R100" s="12"/>
      <c r="S100" s="12"/>
    </row>
    <row r="101">
      <c r="K101" s="26">
        <v>46234.0</v>
      </c>
      <c r="L101" s="21"/>
      <c r="M101" s="21" t="s">
        <v>138</v>
      </c>
      <c r="N101" s="21"/>
      <c r="O101" s="21">
        <v>150.0</v>
      </c>
      <c r="P101" s="19">
        <f t="shared" si="2"/>
        <v>683.01</v>
      </c>
      <c r="Q101" s="12"/>
      <c r="R101" s="12"/>
      <c r="S101" s="12"/>
    </row>
    <row r="102">
      <c r="K102" s="51">
        <v>46237.0</v>
      </c>
      <c r="L102" s="21"/>
      <c r="M102" s="21" t="s">
        <v>47</v>
      </c>
      <c r="N102" s="21">
        <v>988.0</v>
      </c>
      <c r="P102" s="19">
        <f t="shared" si="2"/>
        <v>1671.01</v>
      </c>
      <c r="Q102" s="12"/>
      <c r="R102" s="12"/>
      <c r="S102" s="12"/>
    </row>
    <row r="103">
      <c r="K103" s="51">
        <v>46237.0</v>
      </c>
      <c r="L103" s="21"/>
      <c r="M103" s="21" t="s">
        <v>403</v>
      </c>
      <c r="N103" s="21"/>
      <c r="O103" s="21">
        <v>399.0</v>
      </c>
      <c r="P103" s="19">
        <f t="shared" si="2"/>
        <v>1272.01</v>
      </c>
      <c r="Q103" s="12"/>
      <c r="R103" s="12"/>
      <c r="S103" s="12"/>
    </row>
    <row r="104">
      <c r="K104" s="51">
        <v>46237.0</v>
      </c>
      <c r="L104" s="21"/>
      <c r="M104" s="21" t="s">
        <v>404</v>
      </c>
      <c r="N104" s="21"/>
      <c r="O104" s="21">
        <v>129.0</v>
      </c>
      <c r="P104" s="19">
        <f t="shared" si="2"/>
        <v>1143.01</v>
      </c>
      <c r="Q104" s="12"/>
      <c r="R104" s="12"/>
      <c r="S104" s="12"/>
    </row>
    <row r="105">
      <c r="K105" s="51">
        <v>46237.0</v>
      </c>
      <c r="L105" s="21"/>
      <c r="M105" s="21" t="s">
        <v>406</v>
      </c>
      <c r="N105" s="21"/>
      <c r="O105" s="21">
        <v>170.0</v>
      </c>
      <c r="P105" s="19">
        <f t="shared" si="2"/>
        <v>973.01</v>
      </c>
      <c r="Q105" s="12"/>
      <c r="R105" s="12"/>
      <c r="S105" s="12"/>
    </row>
    <row r="106">
      <c r="K106" s="51">
        <v>46238.0</v>
      </c>
      <c r="L106" s="21"/>
      <c r="M106" s="21" t="s">
        <v>407</v>
      </c>
      <c r="N106" s="21"/>
      <c r="O106" s="21">
        <v>45.0</v>
      </c>
      <c r="P106" s="19">
        <f t="shared" si="2"/>
        <v>928.01</v>
      </c>
      <c r="Q106" s="12"/>
      <c r="R106" s="12"/>
      <c r="S106" s="12"/>
    </row>
    <row r="107">
      <c r="K107" s="51">
        <v>46240.0</v>
      </c>
      <c r="L107" s="21"/>
      <c r="M107" s="21" t="s">
        <v>408</v>
      </c>
      <c r="N107" s="21"/>
      <c r="O107" s="21">
        <v>45.0</v>
      </c>
      <c r="P107" s="19">
        <f t="shared" si="2"/>
        <v>883.01</v>
      </c>
      <c r="Q107" s="12"/>
      <c r="R107" s="12"/>
      <c r="S107" s="12"/>
    </row>
    <row r="108">
      <c r="K108" s="51">
        <v>46240.0</v>
      </c>
      <c r="L108" s="21"/>
      <c r="M108" s="21" t="s">
        <v>409</v>
      </c>
      <c r="N108" s="21"/>
      <c r="O108" s="21">
        <v>264.0</v>
      </c>
      <c r="P108" s="19">
        <f t="shared" si="2"/>
        <v>619.01</v>
      </c>
      <c r="Q108" s="12"/>
      <c r="R108" s="12"/>
      <c r="S108" s="12"/>
    </row>
    <row r="109">
      <c r="K109" s="51">
        <v>46240.0</v>
      </c>
      <c r="L109" s="21"/>
      <c r="M109" s="21" t="s">
        <v>367</v>
      </c>
      <c r="N109" s="21"/>
      <c r="O109" s="21">
        <v>85.0</v>
      </c>
      <c r="P109" s="19">
        <f t="shared" si="2"/>
        <v>534.01</v>
      </c>
      <c r="Q109" s="12"/>
      <c r="R109" s="12"/>
      <c r="S109" s="12"/>
    </row>
    <row r="110">
      <c r="K110" s="51">
        <v>46240.0</v>
      </c>
      <c r="L110" s="21"/>
      <c r="M110" s="21" t="s">
        <v>136</v>
      </c>
      <c r="N110" s="21"/>
      <c r="O110" s="21">
        <v>314.0</v>
      </c>
      <c r="P110" s="19">
        <f t="shared" si="2"/>
        <v>220.01</v>
      </c>
      <c r="Q110" s="12"/>
      <c r="R110" s="12"/>
      <c r="S110" s="12"/>
    </row>
    <row r="111">
      <c r="K111" s="26">
        <v>46244.0</v>
      </c>
      <c r="L111" s="21"/>
      <c r="M111" s="21" t="s">
        <v>47</v>
      </c>
      <c r="N111" s="21">
        <v>788.0</v>
      </c>
      <c r="O111" s="21"/>
      <c r="P111" s="19">
        <f t="shared" si="2"/>
        <v>1008.01</v>
      </c>
      <c r="Q111" s="12"/>
      <c r="R111" s="12"/>
      <c r="S111" s="12"/>
    </row>
    <row r="112">
      <c r="K112" s="26">
        <v>46245.0</v>
      </c>
      <c r="L112" s="21"/>
      <c r="M112" s="21" t="s">
        <v>411</v>
      </c>
      <c r="N112" s="21"/>
      <c r="O112" s="21">
        <v>399.0</v>
      </c>
      <c r="P112" s="19">
        <f t="shared" si="2"/>
        <v>609.01</v>
      </c>
      <c r="Q112" s="12"/>
      <c r="R112" s="12"/>
      <c r="S112" s="12"/>
    </row>
    <row r="113">
      <c r="K113" s="26">
        <v>46245.0</v>
      </c>
      <c r="L113" s="21"/>
      <c r="M113" s="21" t="s">
        <v>238</v>
      </c>
      <c r="N113" s="21"/>
      <c r="O113" s="21">
        <v>119.0</v>
      </c>
      <c r="P113" s="19">
        <f t="shared" si="2"/>
        <v>490.01</v>
      </c>
      <c r="Q113" s="12"/>
      <c r="R113" s="12"/>
      <c r="S113" s="12"/>
    </row>
    <row r="114">
      <c r="K114" s="26">
        <v>46245.0</v>
      </c>
      <c r="L114" s="21"/>
      <c r="M114" s="21" t="s">
        <v>132</v>
      </c>
      <c r="N114" s="21"/>
      <c r="O114" s="21">
        <v>85.0</v>
      </c>
      <c r="P114" s="19">
        <f t="shared" si="2"/>
        <v>405.01</v>
      </c>
      <c r="Q114" s="12"/>
      <c r="R114" s="12"/>
      <c r="S114" s="12"/>
    </row>
    <row r="115">
      <c r="K115" s="26">
        <v>46245.0</v>
      </c>
      <c r="L115" s="21"/>
      <c r="M115" s="21" t="s">
        <v>138</v>
      </c>
      <c r="N115" s="21"/>
      <c r="O115" s="21">
        <v>229.0</v>
      </c>
      <c r="P115" s="19">
        <f t="shared" si="2"/>
        <v>176.01</v>
      </c>
      <c r="Q115" s="12"/>
      <c r="R115" s="12"/>
      <c r="S115" s="12"/>
    </row>
    <row r="116">
      <c r="K116" s="71">
        <v>46247.0</v>
      </c>
      <c r="L116" s="21"/>
      <c r="M116" s="21" t="s">
        <v>413</v>
      </c>
      <c r="N116" s="21">
        <v>8188.0</v>
      </c>
      <c r="O116" s="21"/>
      <c r="P116" s="19">
        <f t="shared" si="2"/>
        <v>8364.01</v>
      </c>
      <c r="Q116" s="12"/>
      <c r="R116" s="12"/>
      <c r="S116" s="12"/>
    </row>
    <row r="117">
      <c r="K117" s="72">
        <v>46248.0</v>
      </c>
      <c r="L117" s="21"/>
      <c r="M117" s="21" t="s">
        <v>411</v>
      </c>
      <c r="N117" s="21"/>
      <c r="O117" s="21">
        <v>399.0</v>
      </c>
      <c r="P117" s="19">
        <f t="shared" si="2"/>
        <v>7965.01</v>
      </c>
      <c r="Q117" s="12"/>
      <c r="R117" s="12"/>
      <c r="S117" s="12"/>
    </row>
    <row r="118">
      <c r="K118" s="72">
        <v>46248.0</v>
      </c>
      <c r="L118" s="21"/>
      <c r="M118" s="1" t="s">
        <v>404</v>
      </c>
      <c r="N118" s="21"/>
      <c r="O118" s="21">
        <v>129.0</v>
      </c>
      <c r="P118" s="19">
        <f t="shared" si="2"/>
        <v>7836.01</v>
      </c>
      <c r="Q118" s="12"/>
      <c r="R118" s="12"/>
      <c r="S118" s="12"/>
    </row>
    <row r="119">
      <c r="K119" s="72">
        <v>46248.0</v>
      </c>
      <c r="L119" s="21"/>
      <c r="M119" s="21" t="s">
        <v>392</v>
      </c>
      <c r="N119" s="21"/>
      <c r="O119" s="21">
        <v>135.0</v>
      </c>
      <c r="P119" s="19">
        <f t="shared" si="2"/>
        <v>7701.01</v>
      </c>
      <c r="Q119" s="12"/>
      <c r="R119" s="12"/>
      <c r="S119" s="12"/>
    </row>
    <row r="120">
      <c r="K120" s="72">
        <v>46248.0</v>
      </c>
      <c r="L120" s="21"/>
      <c r="M120" s="21" t="s">
        <v>232</v>
      </c>
      <c r="N120" s="21"/>
      <c r="O120" s="21">
        <v>85.0</v>
      </c>
      <c r="P120" s="19">
        <f t="shared" si="2"/>
        <v>7616.01</v>
      </c>
      <c r="Q120" s="12"/>
      <c r="R120" s="12"/>
      <c r="S120" s="12"/>
    </row>
    <row r="121">
      <c r="K121" s="72">
        <v>46248.0</v>
      </c>
      <c r="L121" s="21"/>
      <c r="M121" s="21" t="s">
        <v>281</v>
      </c>
      <c r="N121" s="21"/>
      <c r="O121" s="21">
        <v>314.0</v>
      </c>
      <c r="P121" s="19">
        <f t="shared" si="2"/>
        <v>7302.01</v>
      </c>
      <c r="Q121" s="12"/>
      <c r="R121" s="12"/>
      <c r="S121" s="12"/>
    </row>
    <row r="122">
      <c r="K122" s="72">
        <v>46248.0</v>
      </c>
      <c r="L122" s="21"/>
      <c r="M122" s="21" t="s">
        <v>393</v>
      </c>
      <c r="N122" s="21"/>
      <c r="O122" s="21">
        <v>264.0</v>
      </c>
      <c r="P122" s="19">
        <f t="shared" si="2"/>
        <v>7038.01</v>
      </c>
      <c r="Q122" s="12"/>
      <c r="R122" s="12"/>
      <c r="S122" s="12"/>
    </row>
    <row r="123">
      <c r="K123" s="26">
        <v>46251.0</v>
      </c>
      <c r="L123" s="12"/>
      <c r="M123" s="21" t="s">
        <v>403</v>
      </c>
      <c r="N123" s="12"/>
      <c r="O123" s="21">
        <v>399.0</v>
      </c>
      <c r="P123" s="19">
        <f t="shared" si="2"/>
        <v>6639.01</v>
      </c>
      <c r="Q123" s="12"/>
      <c r="R123" s="12"/>
      <c r="S123" s="12"/>
    </row>
    <row r="124">
      <c r="K124" s="26">
        <v>46251.0</v>
      </c>
      <c r="L124" s="12"/>
      <c r="M124" s="21" t="s">
        <v>416</v>
      </c>
      <c r="N124" s="12"/>
      <c r="O124" s="21">
        <v>85.0</v>
      </c>
      <c r="P124" s="19">
        <f t="shared" si="2"/>
        <v>6554.01</v>
      </c>
      <c r="Q124" s="12"/>
      <c r="R124" s="12"/>
      <c r="S124" s="12"/>
    </row>
    <row r="125">
      <c r="K125" s="26">
        <v>46251.0</v>
      </c>
      <c r="L125" s="12"/>
      <c r="M125" s="21" t="s">
        <v>281</v>
      </c>
      <c r="N125" s="12"/>
      <c r="O125" s="21">
        <v>314.0</v>
      </c>
      <c r="P125" s="19">
        <f t="shared" si="2"/>
        <v>6240.01</v>
      </c>
      <c r="Q125" s="12"/>
      <c r="R125" s="12"/>
      <c r="S125" s="12"/>
    </row>
    <row r="126">
      <c r="K126" s="26">
        <v>46252.0</v>
      </c>
      <c r="L126" s="12"/>
      <c r="M126" s="21" t="s">
        <v>68</v>
      </c>
      <c r="N126" s="12"/>
      <c r="O126" s="21">
        <v>85.0</v>
      </c>
      <c r="P126" s="19">
        <f t="shared" si="2"/>
        <v>6155.01</v>
      </c>
      <c r="Q126" s="12"/>
      <c r="R126" s="12"/>
      <c r="S126" s="12"/>
    </row>
    <row r="127">
      <c r="K127" s="26">
        <v>46251.0</v>
      </c>
      <c r="L127" s="12"/>
      <c r="M127" s="21" t="s">
        <v>196</v>
      </c>
      <c r="N127" s="12"/>
      <c r="O127" s="21">
        <v>136.0</v>
      </c>
      <c r="P127" s="19">
        <f t="shared" si="2"/>
        <v>6019.01</v>
      </c>
      <c r="Q127" s="12"/>
      <c r="R127" s="12"/>
      <c r="S127" s="12"/>
    </row>
    <row r="128">
      <c r="K128" s="21" t="s">
        <v>419</v>
      </c>
      <c r="L128" s="12"/>
      <c r="M128" s="21" t="s">
        <v>55</v>
      </c>
      <c r="N128" s="12"/>
      <c r="O128" s="21">
        <v>136.0</v>
      </c>
      <c r="P128" s="19">
        <f t="shared" si="2"/>
        <v>5883.01</v>
      </c>
      <c r="Q128" s="12"/>
      <c r="R128" s="12"/>
      <c r="S128" s="12"/>
    </row>
    <row r="129">
      <c r="K129" s="21" t="s">
        <v>419</v>
      </c>
      <c r="L129" s="12"/>
      <c r="M129" s="21" t="s">
        <v>404</v>
      </c>
      <c r="N129" s="12"/>
      <c r="O129" s="21">
        <v>129.0</v>
      </c>
      <c r="P129" s="19">
        <f t="shared" si="2"/>
        <v>5754.01</v>
      </c>
      <c r="Q129" s="12"/>
      <c r="R129" s="12"/>
      <c r="S129" s="12"/>
    </row>
    <row r="130">
      <c r="K130" s="21" t="s">
        <v>419</v>
      </c>
      <c r="L130" s="12"/>
      <c r="M130" s="21" t="s">
        <v>421</v>
      </c>
      <c r="N130" s="12"/>
      <c r="O130" s="21">
        <v>180.0</v>
      </c>
      <c r="P130" s="19">
        <f t="shared" si="2"/>
        <v>5574.01</v>
      </c>
      <c r="Q130" s="12"/>
      <c r="R130" s="12"/>
      <c r="S130" s="12"/>
    </row>
    <row r="131">
      <c r="K131" s="21" t="s">
        <v>419</v>
      </c>
      <c r="L131" s="12"/>
      <c r="M131" s="21" t="s">
        <v>408</v>
      </c>
      <c r="N131" s="12"/>
      <c r="O131" s="21">
        <v>45.0</v>
      </c>
      <c r="P131" s="19">
        <f t="shared" si="2"/>
        <v>5529.01</v>
      </c>
      <c r="Q131" s="12"/>
      <c r="R131" s="12"/>
      <c r="S131" s="12"/>
    </row>
    <row r="132">
      <c r="K132" s="21" t="s">
        <v>419</v>
      </c>
      <c r="L132" s="12"/>
      <c r="M132" s="21" t="s">
        <v>393</v>
      </c>
      <c r="N132" s="12"/>
      <c r="O132" s="21">
        <v>264.0</v>
      </c>
      <c r="P132" s="19">
        <f t="shared" si="2"/>
        <v>5265.01</v>
      </c>
      <c r="Q132" s="12"/>
      <c r="R132" s="12"/>
      <c r="S132" s="12"/>
    </row>
    <row r="133">
      <c r="K133" s="21" t="s">
        <v>419</v>
      </c>
      <c r="L133" s="12"/>
      <c r="M133" s="21" t="s">
        <v>367</v>
      </c>
      <c r="N133" s="12"/>
      <c r="O133" s="21">
        <v>85.0</v>
      </c>
      <c r="P133" s="19">
        <f t="shared" si="2"/>
        <v>5180.01</v>
      </c>
      <c r="Q133" s="12"/>
      <c r="R133" s="12"/>
      <c r="S133" s="12"/>
    </row>
    <row r="134">
      <c r="K134" s="21" t="s">
        <v>419</v>
      </c>
      <c r="L134" s="12"/>
      <c r="M134" s="21" t="s">
        <v>422</v>
      </c>
      <c r="N134" s="12"/>
      <c r="O134" s="21">
        <v>51.0</v>
      </c>
      <c r="P134" s="19">
        <f t="shared" si="2"/>
        <v>5129.01</v>
      </c>
      <c r="Q134" s="12"/>
      <c r="R134" s="12"/>
      <c r="S134" s="12"/>
    </row>
    <row r="135">
      <c r="K135" s="21" t="s">
        <v>419</v>
      </c>
      <c r="L135" s="12"/>
      <c r="M135" s="21" t="s">
        <v>223</v>
      </c>
      <c r="N135" s="12"/>
      <c r="O135" s="21">
        <v>503.0</v>
      </c>
      <c r="P135" s="19">
        <f t="shared" si="2"/>
        <v>4626.01</v>
      </c>
      <c r="Q135" s="12"/>
      <c r="R135" s="12"/>
      <c r="S135" s="12"/>
    </row>
    <row r="136">
      <c r="K136" s="21" t="s">
        <v>423</v>
      </c>
      <c r="L136" s="12"/>
      <c r="M136" s="21" t="s">
        <v>282</v>
      </c>
      <c r="N136" s="12"/>
      <c r="O136" s="21">
        <v>314.0</v>
      </c>
      <c r="P136" s="19">
        <f t="shared" si="2"/>
        <v>4312.01</v>
      </c>
      <c r="Q136" s="12"/>
      <c r="R136" s="12"/>
      <c r="S136" s="12"/>
    </row>
    <row r="137">
      <c r="K137" s="21" t="s">
        <v>423</v>
      </c>
      <c r="L137" s="12"/>
      <c r="M137" s="21" t="s">
        <v>178</v>
      </c>
      <c r="N137" s="12"/>
      <c r="O137" s="21">
        <v>85.0</v>
      </c>
      <c r="P137" s="19">
        <f t="shared" si="2"/>
        <v>4227.01</v>
      </c>
      <c r="Q137" s="12"/>
      <c r="R137" s="12"/>
      <c r="S137" s="12"/>
    </row>
    <row r="138">
      <c r="K138" s="21" t="s">
        <v>423</v>
      </c>
      <c r="L138" s="12"/>
      <c r="M138" s="21" t="s">
        <v>424</v>
      </c>
      <c r="N138" s="12"/>
      <c r="O138" s="21">
        <v>135.0</v>
      </c>
      <c r="P138" s="19">
        <f t="shared" si="2"/>
        <v>4092.01</v>
      </c>
      <c r="Q138" s="12"/>
      <c r="R138" s="12"/>
      <c r="S138" s="12"/>
    </row>
    <row r="139">
      <c r="K139" s="21" t="s">
        <v>423</v>
      </c>
      <c r="L139" s="12"/>
      <c r="M139" s="21" t="s">
        <v>425</v>
      </c>
      <c r="N139" s="12"/>
      <c r="O139" s="21">
        <v>264.0</v>
      </c>
      <c r="P139" s="19">
        <f t="shared" si="2"/>
        <v>3828.01</v>
      </c>
      <c r="Q139" s="12"/>
      <c r="R139" s="12"/>
      <c r="S139" s="12"/>
    </row>
    <row r="140">
      <c r="K140" s="21" t="s">
        <v>423</v>
      </c>
      <c r="L140" s="12"/>
      <c r="M140" s="21" t="s">
        <v>404</v>
      </c>
      <c r="N140" s="12"/>
      <c r="O140" s="21">
        <v>129.0</v>
      </c>
      <c r="P140" s="19">
        <f t="shared" si="2"/>
        <v>3699.01</v>
      </c>
      <c r="Q140" s="12"/>
      <c r="R140" s="12"/>
      <c r="S140" s="12"/>
    </row>
    <row r="141">
      <c r="K141" s="21" t="s">
        <v>426</v>
      </c>
      <c r="L141" s="21"/>
      <c r="M141" s="38" t="s">
        <v>427</v>
      </c>
      <c r="N141" s="21">
        <v>113.0</v>
      </c>
      <c r="O141" s="21"/>
      <c r="P141" s="19">
        <f t="shared" si="2"/>
        <v>3812.01</v>
      </c>
      <c r="Q141" s="12"/>
      <c r="R141" s="12"/>
      <c r="S141" s="12"/>
    </row>
    <row r="142">
      <c r="K142" s="21" t="s">
        <v>345</v>
      </c>
      <c r="L142" s="12"/>
      <c r="M142" s="21" t="s">
        <v>178</v>
      </c>
      <c r="N142" s="12"/>
      <c r="O142" s="21">
        <v>85.0</v>
      </c>
      <c r="P142" s="19">
        <f t="shared" si="2"/>
        <v>3727.01</v>
      </c>
      <c r="Q142" s="12"/>
      <c r="R142" s="12"/>
      <c r="S142" s="12"/>
    </row>
    <row r="143">
      <c r="K143" s="21" t="s">
        <v>345</v>
      </c>
      <c r="L143" s="12"/>
      <c r="M143" s="21" t="s">
        <v>112</v>
      </c>
      <c r="N143" s="12"/>
      <c r="O143" s="21">
        <v>129.0</v>
      </c>
      <c r="P143" s="19">
        <f t="shared" si="2"/>
        <v>3598.01</v>
      </c>
      <c r="Q143" s="12"/>
      <c r="R143" s="12"/>
      <c r="S143" s="12"/>
    </row>
    <row r="144">
      <c r="K144" s="21" t="s">
        <v>345</v>
      </c>
      <c r="L144" s="12"/>
      <c r="M144" s="21" t="s">
        <v>404</v>
      </c>
      <c r="N144" s="12"/>
      <c r="O144" s="21">
        <v>129.0</v>
      </c>
      <c r="P144" s="19">
        <f t="shared" si="2"/>
        <v>3469.01</v>
      </c>
      <c r="Q144" s="12"/>
      <c r="R144" s="12"/>
      <c r="S144" s="12"/>
    </row>
    <row r="145">
      <c r="K145" s="21" t="s">
        <v>345</v>
      </c>
      <c r="L145" s="12"/>
      <c r="M145" s="21" t="s">
        <v>424</v>
      </c>
      <c r="N145" s="12"/>
      <c r="O145" s="21">
        <v>135.0</v>
      </c>
      <c r="P145" s="19">
        <f t="shared" si="2"/>
        <v>3334.01</v>
      </c>
      <c r="Q145" s="12"/>
      <c r="R145" s="12"/>
      <c r="S145" s="12"/>
    </row>
    <row r="146">
      <c r="K146" s="21" t="s">
        <v>345</v>
      </c>
      <c r="L146" s="12"/>
      <c r="M146" s="21" t="s">
        <v>393</v>
      </c>
      <c r="N146" s="12"/>
      <c r="O146" s="21">
        <v>264.0</v>
      </c>
      <c r="P146" s="19">
        <f t="shared" si="2"/>
        <v>3070.01</v>
      </c>
      <c r="Q146" s="12"/>
      <c r="R146" s="12"/>
      <c r="S146" s="12"/>
    </row>
    <row r="147">
      <c r="K147" s="21" t="s">
        <v>345</v>
      </c>
      <c r="L147" s="12"/>
      <c r="M147" s="21" t="s">
        <v>428</v>
      </c>
      <c r="N147" s="12"/>
      <c r="O147" s="21">
        <v>85.0</v>
      </c>
      <c r="P147" s="19">
        <f t="shared" si="2"/>
        <v>2985.01</v>
      </c>
      <c r="Q147" s="12"/>
      <c r="R147" s="12"/>
      <c r="S147" s="12"/>
    </row>
    <row r="148">
      <c r="K148" s="21" t="s">
        <v>359</v>
      </c>
      <c r="L148" s="12"/>
      <c r="M148" s="21" t="s">
        <v>429</v>
      </c>
      <c r="N148" s="12"/>
      <c r="O148" s="21">
        <v>264.0</v>
      </c>
      <c r="P148" s="19">
        <f t="shared" si="2"/>
        <v>2721.01</v>
      </c>
      <c r="Q148" s="12"/>
      <c r="R148" s="12"/>
      <c r="S148" s="12"/>
    </row>
    <row r="149">
      <c r="K149" s="21" t="s">
        <v>359</v>
      </c>
      <c r="L149" s="12"/>
      <c r="M149" s="21" t="s">
        <v>430</v>
      </c>
      <c r="N149" s="12"/>
      <c r="O149" s="21">
        <v>85.0</v>
      </c>
      <c r="P149" s="19">
        <f t="shared" si="2"/>
        <v>2636.01</v>
      </c>
      <c r="Q149" s="12"/>
      <c r="R149" s="12"/>
      <c r="S149" s="12"/>
    </row>
    <row r="150">
      <c r="K150" s="21" t="s">
        <v>379</v>
      </c>
      <c r="L150" s="12"/>
      <c r="M150" s="21" t="s">
        <v>178</v>
      </c>
      <c r="N150" s="12"/>
      <c r="O150" s="21">
        <v>85.0</v>
      </c>
      <c r="P150" s="19">
        <f t="shared" si="2"/>
        <v>2551.01</v>
      </c>
      <c r="Q150" s="12"/>
      <c r="R150" s="12"/>
      <c r="S150" s="12"/>
    </row>
    <row r="151">
      <c r="K151" s="21" t="s">
        <v>379</v>
      </c>
      <c r="L151" s="12"/>
      <c r="M151" s="21" t="s">
        <v>119</v>
      </c>
      <c r="N151" s="12"/>
      <c r="O151" s="21">
        <v>229.0</v>
      </c>
      <c r="P151" s="19">
        <f t="shared" si="2"/>
        <v>2322.01</v>
      </c>
      <c r="Q151" s="12"/>
      <c r="R151" s="12"/>
      <c r="S151" s="12"/>
    </row>
    <row r="152">
      <c r="K152" s="21" t="s">
        <v>431</v>
      </c>
      <c r="L152" s="12"/>
      <c r="M152" s="21" t="s">
        <v>311</v>
      </c>
      <c r="N152" s="12"/>
      <c r="O152" s="21">
        <v>857.0</v>
      </c>
      <c r="P152" s="19">
        <f t="shared" si="2"/>
        <v>1465.01</v>
      </c>
      <c r="Q152" s="12"/>
      <c r="R152" s="12"/>
      <c r="S152" s="12"/>
    </row>
    <row r="153">
      <c r="K153" s="21" t="s">
        <v>431</v>
      </c>
      <c r="L153" s="12"/>
      <c r="M153" s="21" t="s">
        <v>178</v>
      </c>
      <c r="N153" s="12"/>
      <c r="O153" s="21">
        <v>85.0</v>
      </c>
      <c r="P153" s="19">
        <f t="shared" si="2"/>
        <v>1380.01</v>
      </c>
      <c r="Q153" s="12"/>
      <c r="R153" s="12"/>
      <c r="S153" s="12"/>
    </row>
    <row r="154">
      <c r="K154" s="21" t="s">
        <v>431</v>
      </c>
      <c r="L154" s="12"/>
      <c r="M154" s="21" t="s">
        <v>119</v>
      </c>
      <c r="N154" s="12"/>
      <c r="O154" s="21">
        <v>229.0</v>
      </c>
      <c r="P154" s="19">
        <f t="shared" si="2"/>
        <v>1151.01</v>
      </c>
      <c r="Q154" s="12"/>
      <c r="R154" s="12"/>
      <c r="S154" s="12"/>
    </row>
    <row r="155">
      <c r="K155" s="21" t="s">
        <v>431</v>
      </c>
      <c r="L155" s="21"/>
      <c r="M155" s="38" t="s">
        <v>432</v>
      </c>
      <c r="N155" s="21">
        <v>113.0</v>
      </c>
      <c r="O155" s="12"/>
      <c r="P155" s="19">
        <f t="shared" si="2"/>
        <v>1264.01</v>
      </c>
      <c r="Q155" s="12"/>
      <c r="R155" s="12"/>
      <c r="S155" s="12"/>
    </row>
    <row r="156">
      <c r="K156" s="21" t="s">
        <v>431</v>
      </c>
      <c r="L156" s="21"/>
      <c r="M156" s="38" t="s">
        <v>433</v>
      </c>
      <c r="N156" s="21">
        <v>129.0</v>
      </c>
      <c r="O156" s="12"/>
      <c r="P156" s="19">
        <f t="shared" si="2"/>
        <v>1393.01</v>
      </c>
      <c r="Q156" s="12"/>
      <c r="R156" s="12"/>
      <c r="S156" s="12"/>
    </row>
    <row r="157">
      <c r="K157" s="21" t="s">
        <v>431</v>
      </c>
      <c r="L157" s="21"/>
      <c r="M157" s="21" t="s">
        <v>434</v>
      </c>
      <c r="N157" s="21">
        <v>20000.0</v>
      </c>
      <c r="O157" s="12"/>
      <c r="P157" s="19">
        <f t="shared" si="2"/>
        <v>21393.01</v>
      </c>
      <c r="Q157" s="12"/>
      <c r="R157" s="12"/>
      <c r="S157" s="12"/>
    </row>
    <row r="158">
      <c r="K158" s="21" t="s">
        <v>431</v>
      </c>
      <c r="L158" s="12"/>
      <c r="M158" s="21" t="s">
        <v>362</v>
      </c>
      <c r="N158" s="12"/>
      <c r="O158" s="21">
        <v>314.0</v>
      </c>
      <c r="P158" s="19">
        <f t="shared" si="2"/>
        <v>21079.01</v>
      </c>
      <c r="Q158" s="12"/>
      <c r="R158" s="12"/>
      <c r="S158" s="12"/>
    </row>
    <row r="159">
      <c r="K159" s="21" t="s">
        <v>384</v>
      </c>
      <c r="L159" s="12"/>
      <c r="M159" s="21" t="s">
        <v>416</v>
      </c>
      <c r="N159" s="12"/>
      <c r="O159" s="21">
        <v>85.0</v>
      </c>
      <c r="P159" s="19">
        <f t="shared" si="2"/>
        <v>20994.01</v>
      </c>
      <c r="Q159" s="12"/>
      <c r="R159" s="12"/>
      <c r="S159" s="12"/>
    </row>
    <row r="160">
      <c r="K160" s="21" t="s">
        <v>384</v>
      </c>
      <c r="L160" s="12"/>
      <c r="M160" s="21" t="s">
        <v>238</v>
      </c>
      <c r="N160" s="12"/>
      <c r="O160" s="21">
        <v>119.0</v>
      </c>
      <c r="P160" s="19">
        <f t="shared" si="2"/>
        <v>20875.01</v>
      </c>
      <c r="Q160" s="12"/>
      <c r="R160" s="12"/>
      <c r="S160" s="12"/>
    </row>
    <row r="161">
      <c r="K161" s="21" t="s">
        <v>384</v>
      </c>
      <c r="L161" s="12"/>
      <c r="M161" s="21" t="s">
        <v>435</v>
      </c>
      <c r="N161" s="12"/>
      <c r="O161" s="21">
        <v>85.0</v>
      </c>
      <c r="P161" s="19">
        <f t="shared" si="2"/>
        <v>20790.01</v>
      </c>
      <c r="Q161" s="12"/>
      <c r="R161" s="12"/>
      <c r="S161" s="12"/>
    </row>
    <row r="162">
      <c r="K162" s="21" t="s">
        <v>384</v>
      </c>
      <c r="L162" s="12"/>
      <c r="M162" s="21" t="s">
        <v>429</v>
      </c>
      <c r="N162" s="12"/>
      <c r="O162" s="21">
        <v>264.0</v>
      </c>
      <c r="P162" s="19">
        <f t="shared" si="2"/>
        <v>20526.01</v>
      </c>
      <c r="Q162" s="12"/>
      <c r="R162" s="12"/>
      <c r="S162" s="12"/>
    </row>
    <row r="163">
      <c r="K163" s="21" t="s">
        <v>396</v>
      </c>
      <c r="L163" s="12"/>
      <c r="M163" s="21" t="s">
        <v>416</v>
      </c>
      <c r="N163" s="12"/>
      <c r="O163" s="21">
        <v>85.0</v>
      </c>
      <c r="P163" s="19">
        <f t="shared" si="2"/>
        <v>20441.01</v>
      </c>
      <c r="Q163" s="12"/>
      <c r="R163" s="12"/>
      <c r="S163" s="12"/>
    </row>
    <row r="164">
      <c r="K164" s="21" t="s">
        <v>396</v>
      </c>
      <c r="L164" s="12"/>
      <c r="M164" s="21" t="s">
        <v>436</v>
      </c>
      <c r="N164" s="12"/>
      <c r="O164" s="21">
        <v>72.0</v>
      </c>
      <c r="P164" s="19">
        <f t="shared" si="2"/>
        <v>20369.01</v>
      </c>
      <c r="Q164" s="12"/>
      <c r="R164" s="12"/>
      <c r="S164" s="12"/>
    </row>
    <row r="165">
      <c r="K165" s="21" t="s">
        <v>396</v>
      </c>
      <c r="L165" s="12"/>
      <c r="M165" s="21" t="s">
        <v>174</v>
      </c>
      <c r="N165" s="12"/>
      <c r="O165" s="21">
        <v>157.0</v>
      </c>
      <c r="P165" s="19">
        <f t="shared" si="2"/>
        <v>20212.01</v>
      </c>
      <c r="Q165" s="12"/>
      <c r="R165" s="12"/>
      <c r="S165" s="12"/>
    </row>
    <row r="166">
      <c r="K166" s="21" t="s">
        <v>398</v>
      </c>
      <c r="L166" s="12"/>
      <c r="M166" s="21" t="s">
        <v>416</v>
      </c>
      <c r="N166" s="12"/>
      <c r="O166" s="21">
        <v>85.0</v>
      </c>
      <c r="P166" s="19">
        <f t="shared" si="2"/>
        <v>20127.01</v>
      </c>
      <c r="Q166" s="12"/>
      <c r="R166" s="12"/>
      <c r="S166" s="12"/>
    </row>
    <row r="167">
      <c r="K167" s="21" t="s">
        <v>398</v>
      </c>
      <c r="L167" s="12"/>
      <c r="M167" s="73" t="s">
        <v>167</v>
      </c>
      <c r="N167" s="12"/>
      <c r="O167" s="21">
        <v>229.0</v>
      </c>
      <c r="P167" s="19">
        <f t="shared" si="2"/>
        <v>19898.01</v>
      </c>
      <c r="Q167" s="12"/>
      <c r="R167" s="12"/>
      <c r="S167" s="12"/>
    </row>
    <row r="168">
      <c r="K168" s="21" t="s">
        <v>398</v>
      </c>
      <c r="L168" s="12"/>
      <c r="M168" s="73" t="s">
        <v>399</v>
      </c>
      <c r="N168" s="12"/>
      <c r="O168" s="21">
        <v>85.0</v>
      </c>
      <c r="P168" s="19">
        <f t="shared" si="2"/>
        <v>19813.01</v>
      </c>
      <c r="Q168" s="12"/>
      <c r="R168" s="12"/>
      <c r="S168" s="12"/>
    </row>
    <row r="169">
      <c r="K169" s="21" t="s">
        <v>398</v>
      </c>
      <c r="L169" s="12"/>
      <c r="M169" s="73" t="s">
        <v>105</v>
      </c>
      <c r="N169" s="12"/>
      <c r="O169" s="21">
        <v>314.0</v>
      </c>
      <c r="P169" s="19">
        <f t="shared" si="2"/>
        <v>19499.01</v>
      </c>
      <c r="Q169" s="12"/>
      <c r="R169" s="12"/>
      <c r="S169" s="12"/>
    </row>
    <row r="170">
      <c r="K170" s="21" t="s">
        <v>437</v>
      </c>
      <c r="L170" s="12"/>
      <c r="M170" s="73" t="s">
        <v>416</v>
      </c>
      <c r="N170" s="12"/>
      <c r="O170" s="21">
        <v>85.0</v>
      </c>
      <c r="P170" s="19">
        <f t="shared" si="2"/>
        <v>19414.01</v>
      </c>
      <c r="Q170" s="12"/>
      <c r="R170" s="12"/>
      <c r="S170" s="12"/>
    </row>
    <row r="171">
      <c r="K171" s="21" t="s">
        <v>437</v>
      </c>
      <c r="L171" s="12"/>
      <c r="M171" s="73" t="s">
        <v>138</v>
      </c>
      <c r="N171" s="12"/>
      <c r="O171" s="21">
        <v>229.0</v>
      </c>
      <c r="P171" s="19">
        <f t="shared" si="2"/>
        <v>19185.01</v>
      </c>
      <c r="Q171" s="12"/>
      <c r="R171" s="12"/>
      <c r="S171" s="12"/>
    </row>
    <row r="172">
      <c r="K172" s="21" t="s">
        <v>437</v>
      </c>
      <c r="L172" s="12"/>
      <c r="M172" s="73" t="s">
        <v>362</v>
      </c>
      <c r="N172" s="12"/>
      <c r="O172" s="21">
        <v>314.0</v>
      </c>
      <c r="P172" s="19">
        <f t="shared" si="2"/>
        <v>18871.01</v>
      </c>
      <c r="Q172" s="12"/>
      <c r="R172" s="12"/>
      <c r="S172" s="12"/>
    </row>
    <row r="173">
      <c r="K173" s="21" t="s">
        <v>401</v>
      </c>
      <c r="L173" s="12"/>
      <c r="M173" s="73" t="s">
        <v>416</v>
      </c>
      <c r="N173" s="12"/>
      <c r="O173" s="21">
        <v>85.0</v>
      </c>
      <c r="P173" s="19">
        <f t="shared" si="2"/>
        <v>18786.01</v>
      </c>
      <c r="Q173" s="12"/>
      <c r="R173" s="12"/>
      <c r="S173" s="12"/>
    </row>
    <row r="174">
      <c r="K174" s="21" t="s">
        <v>401</v>
      </c>
      <c r="L174" s="12"/>
      <c r="M174" s="73" t="s">
        <v>438</v>
      </c>
      <c r="N174" s="12"/>
      <c r="O174" s="21">
        <v>72.0</v>
      </c>
      <c r="P174" s="19">
        <f t="shared" si="2"/>
        <v>18714.01</v>
      </c>
      <c r="Q174" s="12"/>
      <c r="R174" s="12"/>
      <c r="S174" s="12"/>
    </row>
    <row r="175">
      <c r="K175" s="21" t="s">
        <v>401</v>
      </c>
      <c r="L175" s="12"/>
      <c r="M175" s="73" t="s">
        <v>311</v>
      </c>
      <c r="N175" s="12"/>
      <c r="O175" s="21">
        <v>157.0</v>
      </c>
      <c r="P175" s="19">
        <f t="shared" si="2"/>
        <v>18557.01</v>
      </c>
      <c r="Q175" s="12"/>
      <c r="R175" s="12"/>
      <c r="S175" s="12"/>
    </row>
    <row r="176">
      <c r="K176" s="21" t="s">
        <v>439</v>
      </c>
      <c r="L176" s="12"/>
      <c r="M176" s="73" t="s">
        <v>416</v>
      </c>
      <c r="N176" s="12"/>
      <c r="O176" s="21">
        <v>85.0</v>
      </c>
      <c r="P176" s="19">
        <f t="shared" si="2"/>
        <v>18472.01</v>
      </c>
      <c r="Q176" s="12"/>
      <c r="R176" s="12"/>
      <c r="S176" s="12"/>
    </row>
    <row r="177">
      <c r="K177" s="21" t="s">
        <v>439</v>
      </c>
      <c r="L177" s="12"/>
      <c r="M177" s="73" t="s">
        <v>112</v>
      </c>
      <c r="N177" s="12"/>
      <c r="O177" s="21">
        <v>129.0</v>
      </c>
      <c r="P177" s="19">
        <f t="shared" si="2"/>
        <v>18343.01</v>
      </c>
      <c r="Q177" s="12"/>
      <c r="R177" s="12"/>
      <c r="S177" s="12"/>
    </row>
    <row r="178">
      <c r="K178" s="21" t="s">
        <v>439</v>
      </c>
      <c r="L178" s="12"/>
      <c r="M178" s="73" t="s">
        <v>421</v>
      </c>
      <c r="N178" s="12"/>
      <c r="O178" s="21">
        <v>180.0</v>
      </c>
      <c r="P178" s="19">
        <f t="shared" si="2"/>
        <v>18163.01</v>
      </c>
      <c r="Q178" s="12"/>
      <c r="R178" s="12"/>
      <c r="S178" s="12"/>
    </row>
    <row r="179">
      <c r="K179" s="21" t="s">
        <v>440</v>
      </c>
      <c r="L179" s="12"/>
      <c r="M179" s="73" t="s">
        <v>441</v>
      </c>
      <c r="N179" s="12"/>
      <c r="O179" s="21">
        <v>129.0</v>
      </c>
      <c r="P179" s="19">
        <f t="shared" si="2"/>
        <v>18034.01</v>
      </c>
      <c r="Q179" s="12"/>
      <c r="R179" s="12"/>
      <c r="S179" s="12"/>
    </row>
    <row r="180">
      <c r="K180" s="21" t="s">
        <v>440</v>
      </c>
      <c r="L180" s="12"/>
      <c r="M180" s="73" t="s">
        <v>421</v>
      </c>
      <c r="N180" s="12"/>
      <c r="O180" s="21">
        <v>180.0</v>
      </c>
      <c r="P180" s="19">
        <f t="shared" si="2"/>
        <v>17854.01</v>
      </c>
      <c r="Q180" s="12"/>
      <c r="R180" s="12"/>
      <c r="S180" s="12"/>
    </row>
    <row r="181">
      <c r="K181" s="21" t="s">
        <v>440</v>
      </c>
      <c r="L181" s="12"/>
      <c r="M181" s="73" t="s">
        <v>408</v>
      </c>
      <c r="N181" s="12"/>
      <c r="O181" s="21">
        <v>45.0</v>
      </c>
      <c r="P181" s="19">
        <f t="shared" si="2"/>
        <v>17809.01</v>
      </c>
      <c r="Q181" s="12"/>
      <c r="R181" s="12"/>
      <c r="S181" s="12"/>
    </row>
    <row r="182">
      <c r="K182" s="21" t="s">
        <v>440</v>
      </c>
      <c r="L182" s="12"/>
      <c r="M182" s="73" t="s">
        <v>435</v>
      </c>
      <c r="N182" s="12"/>
      <c r="O182" s="21">
        <v>85.0</v>
      </c>
      <c r="P182" s="19">
        <f t="shared" si="2"/>
        <v>17724.01</v>
      </c>
      <c r="Q182" s="12"/>
      <c r="R182" s="12"/>
      <c r="S182" s="12"/>
    </row>
    <row r="183">
      <c r="K183" s="21" t="s">
        <v>440</v>
      </c>
      <c r="L183" s="12"/>
      <c r="M183" s="73" t="s">
        <v>393</v>
      </c>
      <c r="N183" s="12"/>
      <c r="O183" s="21">
        <v>264.0</v>
      </c>
      <c r="P183" s="19">
        <f t="shared" si="2"/>
        <v>17460.01</v>
      </c>
      <c r="Q183" s="12"/>
      <c r="R183" s="12"/>
      <c r="S183" s="12"/>
    </row>
    <row r="184">
      <c r="K184" s="21" t="s">
        <v>405</v>
      </c>
      <c r="L184" s="12"/>
      <c r="M184" s="73" t="s">
        <v>416</v>
      </c>
      <c r="N184" s="12"/>
      <c r="O184" s="21">
        <v>85.0</v>
      </c>
      <c r="P184" s="19">
        <f t="shared" si="2"/>
        <v>17375.01</v>
      </c>
      <c r="Q184" s="12"/>
      <c r="R184" s="12"/>
      <c r="S184" s="12"/>
    </row>
    <row r="185">
      <c r="K185" s="21" t="s">
        <v>405</v>
      </c>
      <c r="L185" s="12"/>
      <c r="M185" s="73" t="s">
        <v>119</v>
      </c>
      <c r="N185" s="12"/>
      <c r="O185" s="21">
        <v>229.0</v>
      </c>
      <c r="P185" s="19">
        <f t="shared" si="2"/>
        <v>17146.01</v>
      </c>
      <c r="Q185" s="12"/>
      <c r="R185" s="12"/>
      <c r="S185" s="12"/>
    </row>
    <row r="186">
      <c r="K186" s="21" t="s">
        <v>405</v>
      </c>
      <c r="L186" s="12"/>
      <c r="M186" s="73" t="s">
        <v>442</v>
      </c>
      <c r="N186" s="12"/>
      <c r="O186" s="21">
        <v>355.0</v>
      </c>
      <c r="P186" s="19">
        <f t="shared" si="2"/>
        <v>16791.01</v>
      </c>
      <c r="Q186" s="12"/>
      <c r="R186" s="12"/>
      <c r="S186" s="12"/>
    </row>
    <row r="187">
      <c r="K187" s="21" t="s">
        <v>405</v>
      </c>
      <c r="L187" s="12"/>
      <c r="M187" s="73" t="s">
        <v>55</v>
      </c>
      <c r="N187" s="12"/>
      <c r="O187" s="21">
        <v>670.0</v>
      </c>
      <c r="P187" s="19">
        <f t="shared" si="2"/>
        <v>16121.01</v>
      </c>
      <c r="Q187" s="12"/>
      <c r="R187" s="12"/>
      <c r="S187" s="12"/>
    </row>
    <row r="188">
      <c r="K188" s="21" t="s">
        <v>443</v>
      </c>
      <c r="L188" s="12"/>
      <c r="M188" s="73" t="s">
        <v>416</v>
      </c>
      <c r="N188" s="12"/>
      <c r="O188" s="21">
        <v>85.0</v>
      </c>
      <c r="P188" s="19">
        <f t="shared" si="2"/>
        <v>16036.01</v>
      </c>
      <c r="Q188" s="12"/>
      <c r="R188" s="12"/>
      <c r="S188" s="12"/>
    </row>
    <row r="189">
      <c r="K189" s="21" t="s">
        <v>443</v>
      </c>
      <c r="L189" s="12"/>
      <c r="M189" s="73" t="s">
        <v>119</v>
      </c>
      <c r="N189" s="12"/>
      <c r="O189" s="21">
        <v>229.0</v>
      </c>
      <c r="P189" s="19">
        <f t="shared" si="2"/>
        <v>15807.01</v>
      </c>
      <c r="Q189" s="12"/>
      <c r="R189" s="12"/>
      <c r="S189" s="12"/>
    </row>
    <row r="190">
      <c r="K190" s="21" t="s">
        <v>443</v>
      </c>
      <c r="L190" s="12"/>
      <c r="M190" s="73" t="s">
        <v>282</v>
      </c>
      <c r="N190" s="12"/>
      <c r="O190" s="21">
        <v>314.0</v>
      </c>
      <c r="P190" s="19">
        <f t="shared" si="2"/>
        <v>15493.01</v>
      </c>
      <c r="Q190" s="12"/>
      <c r="R190" s="12"/>
      <c r="S190" s="12"/>
    </row>
    <row r="191">
      <c r="K191" s="21" t="s">
        <v>372</v>
      </c>
      <c r="L191" s="12"/>
      <c r="M191" s="73" t="s">
        <v>178</v>
      </c>
      <c r="N191" s="12"/>
      <c r="O191" s="21">
        <v>85.0</v>
      </c>
      <c r="P191" s="19">
        <f t="shared" si="2"/>
        <v>15408.01</v>
      </c>
      <c r="Q191" s="12"/>
      <c r="R191" s="12"/>
      <c r="S191" s="12"/>
    </row>
    <row r="192">
      <c r="K192" s="21" t="s">
        <v>372</v>
      </c>
      <c r="L192" s="12"/>
      <c r="M192" s="73" t="s">
        <v>167</v>
      </c>
      <c r="N192" s="12"/>
      <c r="O192" s="21">
        <v>229.0</v>
      </c>
      <c r="P192" s="19">
        <f t="shared" si="2"/>
        <v>15179.01</v>
      </c>
      <c r="Q192" s="12"/>
      <c r="R192" s="12"/>
      <c r="S192" s="12"/>
    </row>
    <row r="193">
      <c r="K193" s="21" t="s">
        <v>372</v>
      </c>
      <c r="L193" s="12"/>
      <c r="M193" s="73" t="s">
        <v>362</v>
      </c>
      <c r="N193" s="12"/>
      <c r="O193" s="21">
        <v>314.0</v>
      </c>
      <c r="P193" s="19">
        <f t="shared" si="2"/>
        <v>14865.01</v>
      </c>
      <c r="Q193" s="12"/>
      <c r="R193" s="12"/>
      <c r="S193" s="12"/>
    </row>
    <row r="194">
      <c r="K194" s="21" t="s">
        <v>394</v>
      </c>
      <c r="L194" s="12"/>
      <c r="M194" s="73" t="s">
        <v>416</v>
      </c>
      <c r="N194" s="12"/>
      <c r="O194" s="21">
        <v>85.0</v>
      </c>
      <c r="P194" s="19">
        <f t="shared" si="2"/>
        <v>14780.01</v>
      </c>
      <c r="Q194" s="12"/>
      <c r="R194" s="12"/>
      <c r="S194" s="12"/>
    </row>
    <row r="195">
      <c r="K195" s="21" t="s">
        <v>394</v>
      </c>
      <c r="L195" s="12"/>
      <c r="M195" s="73" t="s">
        <v>138</v>
      </c>
      <c r="N195" s="12"/>
      <c r="O195" s="21">
        <v>229.0</v>
      </c>
      <c r="P195" s="19">
        <f t="shared" si="2"/>
        <v>14551.01</v>
      </c>
      <c r="Q195" s="12"/>
      <c r="R195" s="12"/>
      <c r="S195" s="12"/>
    </row>
    <row r="196">
      <c r="K196" s="21" t="s">
        <v>410</v>
      </c>
      <c r="L196" s="12"/>
      <c r="M196" s="73" t="s">
        <v>282</v>
      </c>
      <c r="N196" s="12"/>
      <c r="O196" s="21">
        <v>314.0</v>
      </c>
      <c r="P196" s="19">
        <f t="shared" si="2"/>
        <v>14237.01</v>
      </c>
      <c r="Q196" s="12"/>
      <c r="R196" s="12"/>
      <c r="S196" s="12"/>
    </row>
    <row r="197">
      <c r="K197" s="51">
        <v>46297.0</v>
      </c>
      <c r="L197" s="12"/>
      <c r="M197" s="21" t="s">
        <v>416</v>
      </c>
      <c r="N197" s="12"/>
      <c r="O197" s="21">
        <v>85.0</v>
      </c>
      <c r="P197" s="19">
        <f t="shared" si="2"/>
        <v>14152.01</v>
      </c>
      <c r="Q197" s="12"/>
      <c r="R197" s="12"/>
      <c r="S197" s="12"/>
    </row>
    <row r="198">
      <c r="K198" s="51">
        <v>46297.0</v>
      </c>
      <c r="L198" s="12"/>
      <c r="M198" s="21" t="s">
        <v>444</v>
      </c>
      <c r="N198" s="12"/>
      <c r="O198" s="21">
        <v>79.0</v>
      </c>
      <c r="P198" s="19">
        <f t="shared" si="2"/>
        <v>14073.01</v>
      </c>
      <c r="Q198" s="12"/>
      <c r="R198" s="12"/>
      <c r="S198" s="12"/>
    </row>
    <row r="199">
      <c r="K199" s="51">
        <v>46297.0</v>
      </c>
      <c r="L199" s="12"/>
      <c r="M199" s="21" t="s">
        <v>123</v>
      </c>
      <c r="N199" s="12"/>
      <c r="O199" s="21">
        <v>136.0</v>
      </c>
      <c r="P199" s="19">
        <f t="shared" si="2"/>
        <v>13937.01</v>
      </c>
      <c r="Q199" s="12"/>
      <c r="R199" s="12"/>
      <c r="S199" s="12"/>
    </row>
    <row r="200">
      <c r="K200" s="51">
        <v>46300.0</v>
      </c>
      <c r="L200" s="12"/>
      <c r="M200" s="21" t="s">
        <v>178</v>
      </c>
      <c r="N200" s="12"/>
      <c r="O200" s="21">
        <v>85.0</v>
      </c>
      <c r="P200" s="19">
        <f t="shared" si="2"/>
        <v>13852.01</v>
      </c>
      <c r="Q200" s="12"/>
      <c r="R200" s="12"/>
      <c r="S200" s="12"/>
    </row>
    <row r="201">
      <c r="K201" s="51">
        <v>46300.0</v>
      </c>
      <c r="L201" s="12"/>
      <c r="M201" s="21" t="s">
        <v>167</v>
      </c>
      <c r="N201" s="12"/>
      <c r="O201" s="21">
        <v>229.0</v>
      </c>
      <c r="P201" s="19">
        <f t="shared" si="2"/>
        <v>13623.01</v>
      </c>
      <c r="Q201" s="12"/>
      <c r="R201" s="12"/>
      <c r="S201" s="12"/>
    </row>
    <row r="202">
      <c r="K202" s="51">
        <v>46300.0</v>
      </c>
      <c r="L202" s="12"/>
      <c r="M202" s="21" t="s">
        <v>362</v>
      </c>
      <c r="N202" s="12"/>
      <c r="O202" s="21">
        <v>731.0</v>
      </c>
      <c r="P202" s="19">
        <f t="shared" si="2"/>
        <v>12892.01</v>
      </c>
      <c r="Q202" s="12"/>
      <c r="R202" s="12"/>
      <c r="S202" s="12"/>
    </row>
    <row r="203">
      <c r="K203" s="51">
        <v>46301.0</v>
      </c>
      <c r="L203" s="12"/>
      <c r="M203" s="21" t="s">
        <v>178</v>
      </c>
      <c r="N203" s="12"/>
      <c r="O203" s="21">
        <v>85.0</v>
      </c>
      <c r="P203" s="19">
        <f t="shared" si="2"/>
        <v>12807.01</v>
      </c>
      <c r="Q203" s="12"/>
      <c r="R203" s="12"/>
      <c r="S203" s="12"/>
    </row>
    <row r="204">
      <c r="K204" s="51">
        <v>46301.0</v>
      </c>
      <c r="L204" s="12"/>
      <c r="M204" s="21" t="s">
        <v>112</v>
      </c>
      <c r="N204" s="12"/>
      <c r="O204" s="21">
        <v>129.0</v>
      </c>
      <c r="P204" s="19">
        <f t="shared" si="2"/>
        <v>12678.01</v>
      </c>
      <c r="Q204" s="12"/>
      <c r="R204" s="12"/>
      <c r="S204" s="12"/>
    </row>
    <row r="205">
      <c r="K205" s="51">
        <v>46301.0</v>
      </c>
      <c r="L205" s="12"/>
      <c r="M205" s="21" t="s">
        <v>421</v>
      </c>
      <c r="N205" s="12"/>
      <c r="O205" s="21">
        <v>180.0</v>
      </c>
      <c r="P205" s="19">
        <f t="shared" si="2"/>
        <v>12498.01</v>
      </c>
      <c r="Q205" s="12"/>
      <c r="R205" s="12"/>
      <c r="S205" s="12"/>
    </row>
    <row r="206">
      <c r="K206" s="51">
        <v>46301.0</v>
      </c>
      <c r="L206" s="12"/>
      <c r="M206" s="21" t="s">
        <v>408</v>
      </c>
      <c r="N206" s="12"/>
      <c r="O206" s="21">
        <v>45.0</v>
      </c>
      <c r="P206" s="19">
        <f t="shared" si="2"/>
        <v>12453.01</v>
      </c>
      <c r="Q206" s="12"/>
      <c r="R206" s="12"/>
      <c r="S206" s="12"/>
    </row>
    <row r="207">
      <c r="K207" s="51">
        <v>46301.0</v>
      </c>
      <c r="L207" s="12"/>
      <c r="M207" s="21" t="s">
        <v>445</v>
      </c>
      <c r="N207" s="12"/>
      <c r="O207" s="21">
        <v>85.0</v>
      </c>
      <c r="P207" s="19">
        <f t="shared" si="2"/>
        <v>12368.01</v>
      </c>
      <c r="Q207" s="12"/>
      <c r="R207" s="12"/>
      <c r="S207" s="12"/>
    </row>
    <row r="208">
      <c r="K208" s="51">
        <v>46301.0</v>
      </c>
      <c r="L208" s="12"/>
      <c r="M208" s="21" t="s">
        <v>446</v>
      </c>
      <c r="N208" s="12"/>
      <c r="O208" s="21">
        <v>229.0</v>
      </c>
      <c r="P208" s="19">
        <f t="shared" si="2"/>
        <v>12139.01</v>
      </c>
      <c r="Q208" s="12"/>
      <c r="R208" s="12"/>
      <c r="S208" s="12"/>
    </row>
    <row r="209">
      <c r="K209" s="12"/>
      <c r="L209" s="12"/>
      <c r="M209" s="12"/>
      <c r="N209" s="12"/>
      <c r="O209" s="12"/>
      <c r="P209" s="19"/>
      <c r="Q209" s="12"/>
      <c r="R209" s="12"/>
      <c r="S209" s="12"/>
    </row>
    <row r="210">
      <c r="K210" s="12"/>
      <c r="L210" s="12"/>
      <c r="M210" s="12"/>
      <c r="N210" s="12"/>
      <c r="O210" s="12"/>
      <c r="P210" s="19"/>
      <c r="Q210" s="12"/>
      <c r="R210" s="12"/>
      <c r="S210" s="12"/>
    </row>
    <row r="211">
      <c r="K211" s="12"/>
      <c r="L211" s="12"/>
      <c r="M211" s="12"/>
      <c r="N211" s="12"/>
      <c r="O211" s="12"/>
      <c r="P211" s="19"/>
      <c r="Q211" s="12"/>
      <c r="R211" s="12"/>
      <c r="S211" s="12"/>
    </row>
    <row r="212">
      <c r="K212" s="12"/>
      <c r="L212" s="12"/>
      <c r="M212" s="12"/>
      <c r="N212" s="12"/>
      <c r="O212" s="12"/>
      <c r="P212" s="19"/>
      <c r="Q212" s="12"/>
      <c r="R212" s="12"/>
      <c r="S212" s="12"/>
    </row>
    <row r="213">
      <c r="K213" s="12"/>
      <c r="L213" s="12"/>
      <c r="M213" s="12"/>
      <c r="N213" s="12"/>
      <c r="O213" s="12"/>
      <c r="P213" s="19"/>
      <c r="Q213" s="12"/>
      <c r="R213" s="12"/>
      <c r="S213" s="12"/>
    </row>
    <row r="214">
      <c r="K214" s="12"/>
      <c r="L214" s="12"/>
      <c r="M214" s="12"/>
      <c r="N214" s="12"/>
      <c r="O214" s="12"/>
      <c r="P214" s="19"/>
      <c r="Q214" s="12"/>
      <c r="R214" s="12"/>
      <c r="S214" s="12"/>
    </row>
    <row r="215">
      <c r="K215" s="12"/>
      <c r="L215" s="12"/>
      <c r="M215" s="12"/>
      <c r="N215" s="12"/>
      <c r="O215" s="12"/>
      <c r="P215" s="19"/>
      <c r="Q215" s="12"/>
      <c r="R215" s="12"/>
      <c r="S215" s="12"/>
    </row>
    <row r="216">
      <c r="K216" s="12"/>
      <c r="L216" s="12"/>
      <c r="M216" s="12"/>
      <c r="N216" s="12"/>
      <c r="O216" s="12"/>
      <c r="P216" s="12"/>
      <c r="Q216" s="12"/>
      <c r="R216" s="12"/>
      <c r="S216" s="12"/>
    </row>
    <row r="217">
      <c r="K217" s="12"/>
      <c r="L217" s="12"/>
      <c r="M217" s="12"/>
      <c r="N217" s="12"/>
      <c r="O217" s="12"/>
      <c r="P217" s="12"/>
      <c r="Q217" s="12"/>
      <c r="R217" s="12"/>
      <c r="S217" s="12"/>
    </row>
    <row r="218">
      <c r="K218" s="12"/>
      <c r="L218" s="12"/>
      <c r="M218" s="12"/>
      <c r="N218" s="12"/>
      <c r="O218" s="12"/>
      <c r="P218" s="12"/>
      <c r="Q218" s="12"/>
      <c r="R218" s="12"/>
      <c r="S218" s="12"/>
    </row>
    <row r="219">
      <c r="K219" s="12"/>
      <c r="L219" s="12"/>
      <c r="M219" s="12"/>
      <c r="N219" s="12"/>
      <c r="O219" s="12"/>
      <c r="P219" s="12"/>
      <c r="Q219" s="12"/>
      <c r="R219" s="12"/>
      <c r="S219" s="12"/>
    </row>
    <row r="220">
      <c r="K220" s="12"/>
      <c r="L220" s="12"/>
      <c r="M220" s="12"/>
      <c r="N220" s="12"/>
      <c r="O220" s="12"/>
      <c r="P220" s="12"/>
      <c r="Q220" s="12"/>
      <c r="R220" s="12"/>
      <c r="S220" s="12"/>
    </row>
    <row r="221">
      <c r="K221" s="12"/>
      <c r="L221" s="12"/>
      <c r="M221" s="12"/>
      <c r="N221" s="12"/>
      <c r="O221" s="12"/>
      <c r="P221" s="12"/>
      <c r="Q221" s="12"/>
      <c r="R221" s="12"/>
      <c r="S221" s="12"/>
    </row>
    <row r="222">
      <c r="K222" s="12"/>
      <c r="L222" s="12"/>
      <c r="M222" s="12"/>
      <c r="N222" s="12"/>
      <c r="O222" s="12"/>
      <c r="P222" s="12"/>
      <c r="Q222" s="12"/>
      <c r="R222" s="12"/>
      <c r="S222" s="12"/>
    </row>
    <row r="223">
      <c r="K223" s="12"/>
      <c r="L223" s="12"/>
      <c r="M223" s="12"/>
      <c r="N223" s="12"/>
      <c r="O223" s="12"/>
      <c r="P223" s="12"/>
      <c r="Q223" s="12"/>
      <c r="R223" s="12"/>
      <c r="S223" s="12"/>
    </row>
    <row r="224">
      <c r="K224" s="12"/>
      <c r="L224" s="12"/>
      <c r="M224" s="12"/>
      <c r="N224" s="12"/>
      <c r="O224" s="12"/>
      <c r="P224" s="12"/>
      <c r="Q224" s="12"/>
      <c r="R224" s="12"/>
      <c r="S224" s="12"/>
    </row>
    <row r="225">
      <c r="K225" s="12"/>
      <c r="L225" s="12"/>
      <c r="M225" s="12"/>
      <c r="N225" s="12"/>
      <c r="O225" s="12"/>
      <c r="P225" s="12"/>
      <c r="Q225" s="12"/>
      <c r="R225" s="12"/>
      <c r="S225" s="12"/>
    </row>
    <row r="226">
      <c r="K226" s="12"/>
      <c r="L226" s="12"/>
      <c r="M226" s="12"/>
      <c r="N226" s="12"/>
      <c r="O226" s="12"/>
      <c r="P226" s="12"/>
      <c r="Q226" s="12"/>
      <c r="R226" s="12"/>
      <c r="S226" s="12"/>
    </row>
    <row r="227">
      <c r="K227" s="12"/>
      <c r="L227" s="12"/>
      <c r="M227" s="12"/>
      <c r="N227" s="12"/>
      <c r="O227" s="12"/>
      <c r="P227" s="12"/>
      <c r="Q227" s="12"/>
      <c r="R227" s="12"/>
      <c r="S227" s="12"/>
    </row>
    <row r="228">
      <c r="K228" s="12"/>
      <c r="L228" s="12"/>
      <c r="M228" s="12"/>
      <c r="N228" s="12"/>
      <c r="O228" s="12"/>
      <c r="P228" s="12"/>
      <c r="Q228" s="12"/>
      <c r="R228" s="12"/>
      <c r="S228" s="12"/>
    </row>
    <row r="229">
      <c r="K229" s="12"/>
      <c r="L229" s="12"/>
      <c r="M229" s="12"/>
      <c r="N229" s="12"/>
      <c r="O229" s="12"/>
      <c r="P229" s="12"/>
      <c r="Q229" s="12"/>
      <c r="R229" s="12"/>
      <c r="S229" s="12"/>
    </row>
    <row r="230">
      <c r="K230" s="12"/>
      <c r="L230" s="12"/>
      <c r="M230" s="12"/>
      <c r="N230" s="12"/>
      <c r="O230" s="12"/>
      <c r="P230" s="12"/>
      <c r="Q230" s="12"/>
      <c r="R230" s="12"/>
      <c r="S230" s="12"/>
    </row>
    <row r="231">
      <c r="K231" s="12"/>
      <c r="L231" s="12"/>
      <c r="M231" s="12"/>
      <c r="N231" s="12"/>
      <c r="O231" s="12"/>
      <c r="P231" s="12"/>
      <c r="Q231" s="12"/>
      <c r="R231" s="12"/>
      <c r="S231" s="12"/>
    </row>
    <row r="232">
      <c r="K232" s="12"/>
      <c r="L232" s="12"/>
      <c r="M232" s="12"/>
      <c r="N232" s="12"/>
      <c r="O232" s="12"/>
      <c r="P232" s="12"/>
      <c r="Q232" s="12"/>
      <c r="R232" s="12"/>
      <c r="S232" s="12"/>
    </row>
    <row r="233">
      <c r="K233" s="12"/>
      <c r="L233" s="12"/>
      <c r="M233" s="12"/>
      <c r="N233" s="12"/>
      <c r="O233" s="12"/>
      <c r="P233" s="12"/>
      <c r="Q233" s="12"/>
      <c r="R233" s="12"/>
      <c r="S233" s="12"/>
    </row>
    <row r="234">
      <c r="K234" s="12"/>
      <c r="L234" s="12"/>
      <c r="M234" s="12"/>
      <c r="N234" s="12"/>
      <c r="O234" s="12"/>
      <c r="P234" s="12"/>
      <c r="Q234" s="12"/>
      <c r="R234" s="12"/>
      <c r="S234" s="12"/>
    </row>
    <row r="235">
      <c r="K235" s="12"/>
      <c r="L235" s="12"/>
      <c r="M235" s="12"/>
      <c r="N235" s="12"/>
      <c r="O235" s="12"/>
      <c r="P235" s="12"/>
      <c r="Q235" s="12"/>
      <c r="R235" s="12"/>
      <c r="S235" s="12"/>
    </row>
    <row r="236">
      <c r="K236" s="12"/>
      <c r="L236" s="12"/>
      <c r="M236" s="12"/>
      <c r="N236" s="12"/>
      <c r="O236" s="12"/>
      <c r="P236" s="12"/>
      <c r="Q236" s="12"/>
      <c r="R236" s="12"/>
      <c r="S236" s="12"/>
    </row>
    <row r="237">
      <c r="K237" s="12"/>
      <c r="L237" s="12"/>
      <c r="M237" s="12"/>
      <c r="N237" s="12"/>
      <c r="O237" s="12"/>
      <c r="P237" s="12"/>
      <c r="Q237" s="12"/>
      <c r="R237" s="12"/>
      <c r="S237" s="12"/>
    </row>
    <row r="238">
      <c r="K238" s="12"/>
      <c r="L238" s="12"/>
      <c r="M238" s="12"/>
      <c r="N238" s="12"/>
      <c r="O238" s="12"/>
      <c r="P238" s="12"/>
      <c r="Q238" s="12"/>
      <c r="R238" s="12"/>
      <c r="S238" s="12"/>
    </row>
    <row r="239">
      <c r="K239" s="12"/>
      <c r="L239" s="12"/>
      <c r="M239" s="12"/>
      <c r="N239" s="12"/>
      <c r="O239" s="12"/>
      <c r="P239" s="12"/>
      <c r="Q239" s="12"/>
      <c r="R239" s="12"/>
      <c r="S239" s="12"/>
    </row>
    <row r="240">
      <c r="K240" s="12"/>
      <c r="L240" s="12"/>
      <c r="M240" s="12"/>
      <c r="N240" s="12"/>
      <c r="O240" s="12"/>
      <c r="P240" s="12"/>
      <c r="Q240" s="12"/>
      <c r="R240" s="12"/>
      <c r="S240" s="12"/>
    </row>
    <row r="241">
      <c r="K241" s="12"/>
      <c r="L241" s="12"/>
      <c r="M241" s="12"/>
      <c r="N241" s="12"/>
      <c r="O241" s="12"/>
      <c r="P241" s="12"/>
      <c r="Q241" s="12"/>
      <c r="R241" s="12"/>
      <c r="S241" s="12"/>
    </row>
    <row r="242">
      <c r="K242" s="12"/>
      <c r="L242" s="12"/>
      <c r="M242" s="12"/>
      <c r="N242" s="12"/>
      <c r="O242" s="12"/>
      <c r="P242" s="12"/>
      <c r="Q242" s="12"/>
      <c r="R242" s="12"/>
      <c r="S242" s="12"/>
    </row>
    <row r="243">
      <c r="K243" s="12"/>
      <c r="L243" s="12"/>
      <c r="M243" s="12"/>
      <c r="N243" s="12"/>
      <c r="O243" s="12"/>
      <c r="P243" s="12"/>
      <c r="Q243" s="12"/>
      <c r="R243" s="12"/>
      <c r="S243" s="12"/>
    </row>
    <row r="244">
      <c r="K244" s="12"/>
      <c r="L244" s="12"/>
      <c r="M244" s="12"/>
      <c r="N244" s="12"/>
      <c r="O244" s="12"/>
      <c r="P244" s="12"/>
      <c r="Q244" s="12"/>
      <c r="R244" s="12"/>
      <c r="S244" s="12"/>
    </row>
    <row r="245">
      <c r="K245" s="12"/>
      <c r="L245" s="12"/>
      <c r="M245" s="12"/>
      <c r="N245" s="12"/>
      <c r="O245" s="12"/>
      <c r="P245" s="12"/>
      <c r="Q245" s="12"/>
      <c r="R245" s="12"/>
      <c r="S245" s="12"/>
    </row>
  </sheetData>
  <mergeCells count="18">
    <mergeCell ref="R21:R23"/>
    <mergeCell ref="R24:R25"/>
    <mergeCell ref="R26:R28"/>
    <mergeCell ref="R29:R30"/>
    <mergeCell ref="R31:R32"/>
    <mergeCell ref="R33:R35"/>
    <mergeCell ref="S24:S25"/>
    <mergeCell ref="S26:S28"/>
    <mergeCell ref="S29:S30"/>
    <mergeCell ref="S31:S32"/>
    <mergeCell ref="S33:S35"/>
    <mergeCell ref="R4:R16"/>
    <mergeCell ref="S4:S16"/>
    <mergeCell ref="R17:R18"/>
    <mergeCell ref="S17:S18"/>
    <mergeCell ref="R19:R20"/>
    <mergeCell ref="S19:S20"/>
    <mergeCell ref="S21:S23"/>
  </mergeCells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31.63"/>
    <col customWidth="1" min="12" max="12" width="18.88"/>
    <col customWidth="1" min="13" max="13" width="41.0"/>
  </cols>
  <sheetData>
    <row r="1">
      <c r="A1" s="2" t="s">
        <v>1</v>
      </c>
      <c r="B1" s="1"/>
      <c r="D1" s="3" t="s">
        <v>2</v>
      </c>
      <c r="E1" s="3" t="s">
        <v>3</v>
      </c>
      <c r="F1" s="3" t="s">
        <v>5</v>
      </c>
      <c r="G1" s="3" t="s">
        <v>6</v>
      </c>
      <c r="H1" s="3" t="s">
        <v>7</v>
      </c>
      <c r="I1" s="6" t="s">
        <v>9</v>
      </c>
      <c r="K1" s="8" t="s">
        <v>16</v>
      </c>
      <c r="L1" s="6"/>
      <c r="M1" s="11"/>
      <c r="N1" s="8"/>
      <c r="O1" s="8"/>
      <c r="P1" s="8"/>
      <c r="Q1" s="10"/>
      <c r="R1" s="10"/>
      <c r="S1" s="10"/>
    </row>
    <row r="2">
      <c r="A2" s="1" t="s">
        <v>21</v>
      </c>
      <c r="B2" s="2" t="s">
        <v>22</v>
      </c>
      <c r="D2" s="13">
        <v>45782.0</v>
      </c>
      <c r="E2" s="13">
        <v>45343.0</v>
      </c>
      <c r="F2" s="13">
        <v>45344.0</v>
      </c>
      <c r="G2" s="13">
        <v>45345.0</v>
      </c>
      <c r="H2" s="13">
        <v>46027.0</v>
      </c>
      <c r="I2" s="13">
        <v>45345.0</v>
      </c>
      <c r="K2" s="11" t="s">
        <v>8</v>
      </c>
      <c r="L2" s="6" t="s">
        <v>24</v>
      </c>
      <c r="M2" s="11" t="s">
        <v>25</v>
      </c>
      <c r="N2" s="11" t="s">
        <v>27</v>
      </c>
      <c r="O2" s="11" t="s">
        <v>28</v>
      </c>
      <c r="P2" s="11" t="s">
        <v>30</v>
      </c>
      <c r="Q2" s="6" t="s">
        <v>33</v>
      </c>
      <c r="R2" s="6" t="s">
        <v>35</v>
      </c>
      <c r="S2" s="6" t="s">
        <v>33</v>
      </c>
    </row>
    <row r="3">
      <c r="A3" s="1" t="s">
        <v>40</v>
      </c>
      <c r="B3" s="2" t="s">
        <v>42</v>
      </c>
      <c r="D3" s="15"/>
      <c r="E3" s="15"/>
      <c r="F3" s="15"/>
      <c r="G3" s="15"/>
      <c r="H3" s="15"/>
      <c r="I3" s="15"/>
      <c r="K3" s="18"/>
      <c r="L3" s="21"/>
      <c r="M3" s="22"/>
      <c r="N3" s="22"/>
      <c r="O3" s="24"/>
      <c r="P3" s="24">
        <v>7776.01</v>
      </c>
      <c r="Q3" s="19"/>
      <c r="R3" s="19"/>
      <c r="S3" s="19"/>
    </row>
    <row r="4">
      <c r="A4" s="1" t="s">
        <v>50</v>
      </c>
      <c r="B4" s="2" t="s">
        <v>52</v>
      </c>
      <c r="D4" s="15"/>
      <c r="E4" s="15"/>
      <c r="F4" s="15"/>
      <c r="G4" s="15"/>
      <c r="H4" s="15"/>
      <c r="I4" s="15"/>
      <c r="K4" s="18">
        <v>46143.0</v>
      </c>
      <c r="L4" s="21"/>
      <c r="M4" s="22" t="s">
        <v>54</v>
      </c>
      <c r="N4" s="22"/>
      <c r="O4" s="24">
        <v>316.0</v>
      </c>
      <c r="P4" s="24">
        <f t="shared" ref="P4:P121" si="1">P3+N4-O4</f>
        <v>7460.01</v>
      </c>
      <c r="Q4" s="27"/>
      <c r="R4" s="19"/>
      <c r="S4" s="19"/>
    </row>
    <row r="5">
      <c r="A5" s="1" t="s">
        <v>66</v>
      </c>
      <c r="B5" s="2" t="s">
        <v>67</v>
      </c>
      <c r="D5" s="15"/>
      <c r="E5" s="15"/>
      <c r="F5" s="15"/>
      <c r="G5" s="15"/>
      <c r="H5" s="15"/>
      <c r="I5" s="15"/>
      <c r="K5" s="18">
        <v>46143.0</v>
      </c>
      <c r="L5" s="21"/>
      <c r="M5" s="22" t="s">
        <v>68</v>
      </c>
      <c r="N5" s="22"/>
      <c r="O5" s="24">
        <v>355.0</v>
      </c>
      <c r="P5" s="24">
        <f t="shared" si="1"/>
        <v>7105.01</v>
      </c>
      <c r="Q5" s="27"/>
      <c r="R5" s="19"/>
      <c r="S5" s="19"/>
    </row>
    <row r="6">
      <c r="A6" s="1" t="s">
        <v>70</v>
      </c>
      <c r="B6" s="2" t="s">
        <v>72</v>
      </c>
      <c r="D6" s="15"/>
      <c r="E6" s="15"/>
      <c r="F6" s="15"/>
      <c r="G6" s="15"/>
      <c r="H6" s="15"/>
      <c r="I6" s="15"/>
      <c r="K6" s="18">
        <v>46156.0</v>
      </c>
      <c r="L6" s="21"/>
      <c r="M6" s="22" t="s">
        <v>68</v>
      </c>
      <c r="N6" s="22"/>
      <c r="O6" s="24">
        <v>96.0</v>
      </c>
      <c r="P6" s="24">
        <f t="shared" si="1"/>
        <v>7009.01</v>
      </c>
      <c r="Q6" s="27"/>
      <c r="R6" s="19"/>
      <c r="S6" s="19"/>
    </row>
    <row r="7">
      <c r="K7" s="18">
        <v>46162.0</v>
      </c>
      <c r="L7" s="21"/>
      <c r="M7" s="22" t="s">
        <v>76</v>
      </c>
      <c r="N7" s="22"/>
      <c r="O7" s="24">
        <v>209.0</v>
      </c>
      <c r="P7" s="24">
        <f t="shared" si="1"/>
        <v>6800.01</v>
      </c>
      <c r="Q7" s="27"/>
      <c r="R7" s="19"/>
      <c r="S7" s="19"/>
    </row>
    <row r="8">
      <c r="A8" s="6" t="s">
        <v>8</v>
      </c>
      <c r="B8" s="6" t="s">
        <v>84</v>
      </c>
      <c r="C8" s="6" t="s">
        <v>25</v>
      </c>
      <c r="D8" s="6" t="s">
        <v>86</v>
      </c>
      <c r="E8" s="6" t="s">
        <v>87</v>
      </c>
      <c r="G8" s="6" t="s">
        <v>8</v>
      </c>
      <c r="H8" s="6" t="s">
        <v>13</v>
      </c>
      <c r="I8" s="6" t="s">
        <v>88</v>
      </c>
      <c r="K8" s="18">
        <v>46162.0</v>
      </c>
      <c r="L8" s="21"/>
      <c r="M8" s="22" t="s">
        <v>90</v>
      </c>
      <c r="N8" s="22"/>
      <c r="O8" s="24">
        <v>5.0</v>
      </c>
      <c r="P8" s="24">
        <f t="shared" si="1"/>
        <v>6795.01</v>
      </c>
      <c r="Q8" s="27"/>
      <c r="R8" s="19"/>
      <c r="S8" s="19"/>
    </row>
    <row r="9">
      <c r="A9" s="13">
        <v>45782.0</v>
      </c>
      <c r="B9" s="21" t="s">
        <v>95</v>
      </c>
      <c r="C9" s="38" t="s">
        <v>97</v>
      </c>
      <c r="D9" s="38" t="s">
        <v>99</v>
      </c>
      <c r="E9" s="19">
        <v>10718.5</v>
      </c>
      <c r="G9" s="21"/>
      <c r="H9" s="12"/>
      <c r="I9" s="12"/>
      <c r="K9" s="18">
        <v>46162.0</v>
      </c>
      <c r="L9" s="21"/>
      <c r="M9" s="22" t="s">
        <v>104</v>
      </c>
      <c r="N9" s="22"/>
      <c r="O9" s="24">
        <v>105.0</v>
      </c>
      <c r="P9" s="24">
        <f t="shared" si="1"/>
        <v>6690.01</v>
      </c>
      <c r="Q9" s="27"/>
      <c r="R9" s="19"/>
      <c r="S9" s="19"/>
    </row>
    <row r="10">
      <c r="A10" s="13">
        <v>46027.0</v>
      </c>
      <c r="B10" s="21" t="s">
        <v>106</v>
      </c>
      <c r="C10" s="38" t="s">
        <v>108</v>
      </c>
      <c r="D10" s="38" t="s">
        <v>110</v>
      </c>
      <c r="E10" s="19">
        <v>10100.0</v>
      </c>
      <c r="G10" s="12"/>
      <c r="H10" s="12"/>
      <c r="I10" s="12"/>
      <c r="K10" s="18">
        <v>46162.0</v>
      </c>
      <c r="L10" s="21"/>
      <c r="M10" s="22" t="s">
        <v>115</v>
      </c>
      <c r="N10" s="22"/>
      <c r="O10" s="24">
        <v>85.0</v>
      </c>
      <c r="P10" s="24">
        <f t="shared" si="1"/>
        <v>6605.01</v>
      </c>
      <c r="Q10" s="27"/>
      <c r="R10" s="19"/>
      <c r="S10" s="19"/>
    </row>
    <row r="11">
      <c r="A11" s="15"/>
      <c r="B11" s="12"/>
      <c r="C11" s="38"/>
      <c r="D11" s="38"/>
      <c r="E11" s="39"/>
      <c r="G11" s="12"/>
      <c r="H11" s="12"/>
      <c r="I11" s="12"/>
      <c r="K11" s="18">
        <v>46162.0</v>
      </c>
      <c r="L11" s="21"/>
      <c r="M11" s="22" t="s">
        <v>119</v>
      </c>
      <c r="N11" s="22"/>
      <c r="O11" s="24">
        <v>229.0</v>
      </c>
      <c r="P11" s="24">
        <f t="shared" si="1"/>
        <v>6376.01</v>
      </c>
      <c r="Q11" s="27"/>
      <c r="R11" s="19"/>
      <c r="S11" s="19"/>
    </row>
    <row r="12">
      <c r="A12" s="15"/>
      <c r="B12" s="12"/>
      <c r="C12" s="38"/>
      <c r="D12" s="38"/>
      <c r="E12" s="39"/>
      <c r="G12" s="12"/>
      <c r="H12" s="12"/>
      <c r="I12" s="12"/>
      <c r="K12" s="18">
        <v>46170.0</v>
      </c>
      <c r="L12" s="21"/>
      <c r="M12" s="22" t="s">
        <v>105</v>
      </c>
      <c r="N12" s="22"/>
      <c r="O12" s="24">
        <v>314.0</v>
      </c>
      <c r="P12" s="24">
        <f t="shared" si="1"/>
        <v>6062.01</v>
      </c>
      <c r="Q12" s="27"/>
      <c r="R12" s="19"/>
      <c r="S12" s="19"/>
    </row>
    <row r="13">
      <c r="A13" s="15"/>
      <c r="B13" s="12"/>
      <c r="C13" s="38"/>
      <c r="D13" s="38"/>
      <c r="E13" s="39"/>
      <c r="G13" s="12"/>
      <c r="H13" s="12"/>
      <c r="I13" s="12"/>
      <c r="K13" s="18">
        <v>46170.0</v>
      </c>
      <c r="L13" s="21"/>
      <c r="M13" s="22" t="s">
        <v>115</v>
      </c>
      <c r="N13" s="22"/>
      <c r="O13" s="24">
        <v>85.0</v>
      </c>
      <c r="P13" s="24">
        <f t="shared" si="1"/>
        <v>5977.01</v>
      </c>
      <c r="Q13" s="27"/>
      <c r="R13" s="19"/>
      <c r="S13" s="19"/>
    </row>
    <row r="14">
      <c r="A14" s="15"/>
      <c r="B14" s="12"/>
      <c r="C14" s="38"/>
      <c r="D14" s="38"/>
      <c r="E14" s="39"/>
      <c r="G14" s="12"/>
      <c r="H14" s="12"/>
      <c r="I14" s="12"/>
      <c r="K14" s="18">
        <v>46170.0</v>
      </c>
      <c r="L14" s="21"/>
      <c r="M14" s="22" t="s">
        <v>138</v>
      </c>
      <c r="N14" s="22"/>
      <c r="O14" s="24">
        <v>229.0</v>
      </c>
      <c r="P14" s="24">
        <f t="shared" si="1"/>
        <v>5748.01</v>
      </c>
      <c r="Q14" s="27"/>
      <c r="R14" s="19"/>
      <c r="S14" s="19"/>
    </row>
    <row r="15">
      <c r="A15" s="15"/>
      <c r="B15" s="12"/>
      <c r="C15" s="38"/>
      <c r="D15" s="38"/>
      <c r="E15" s="39"/>
      <c r="G15" s="12"/>
      <c r="H15" s="12"/>
      <c r="I15" s="12"/>
      <c r="K15" s="18">
        <v>46174.0</v>
      </c>
      <c r="L15" s="21"/>
      <c r="M15" s="22" t="s">
        <v>55</v>
      </c>
      <c r="N15" s="22"/>
      <c r="O15" s="24">
        <v>314.0</v>
      </c>
      <c r="P15" s="24">
        <f t="shared" si="1"/>
        <v>5434.01</v>
      </c>
      <c r="Q15" s="27"/>
      <c r="R15" s="19"/>
      <c r="S15" s="19"/>
    </row>
    <row r="16">
      <c r="A16" s="15"/>
      <c r="B16" s="12"/>
      <c r="C16" s="38"/>
      <c r="D16" s="38"/>
      <c r="E16" s="39"/>
      <c r="G16" s="12"/>
      <c r="H16" s="12"/>
      <c r="I16" s="12"/>
      <c r="K16" s="18">
        <v>46174.0</v>
      </c>
      <c r="L16" s="21"/>
      <c r="M16" s="22" t="s">
        <v>160</v>
      </c>
      <c r="N16" s="22"/>
      <c r="O16" s="24">
        <v>85.0</v>
      </c>
      <c r="P16" s="24">
        <f t="shared" si="1"/>
        <v>5349.01</v>
      </c>
      <c r="Q16" s="27"/>
      <c r="R16" s="19"/>
      <c r="S16" s="19"/>
    </row>
    <row r="17">
      <c r="A17" s="15"/>
      <c r="B17" s="12"/>
      <c r="C17" s="38"/>
      <c r="D17" s="38"/>
      <c r="E17" s="39"/>
      <c r="G17" s="12"/>
      <c r="H17" s="12"/>
      <c r="I17" s="12"/>
      <c r="K17" s="18">
        <v>46174.0</v>
      </c>
      <c r="L17" s="21"/>
      <c r="M17" s="22" t="s">
        <v>167</v>
      </c>
      <c r="N17" s="22"/>
      <c r="O17" s="24">
        <v>229.0</v>
      </c>
      <c r="P17" s="24">
        <f t="shared" si="1"/>
        <v>5120.01</v>
      </c>
      <c r="Q17" s="27"/>
      <c r="R17" s="19"/>
      <c r="S17" s="19"/>
    </row>
    <row r="18">
      <c r="A18" s="15"/>
      <c r="B18" s="12"/>
      <c r="C18" s="38"/>
      <c r="D18" s="38"/>
      <c r="E18" s="39"/>
      <c r="G18" s="12"/>
      <c r="H18" s="12"/>
      <c r="I18" s="12"/>
      <c r="K18" s="18">
        <v>46188.0</v>
      </c>
      <c r="L18" s="21"/>
      <c r="M18" s="22" t="s">
        <v>175</v>
      </c>
      <c r="N18" s="22"/>
      <c r="O18" s="24">
        <v>314.0</v>
      </c>
      <c r="P18" s="24">
        <f t="shared" si="1"/>
        <v>4806.01</v>
      </c>
      <c r="Q18" s="27"/>
      <c r="R18" s="19"/>
      <c r="S18" s="19"/>
    </row>
    <row r="19">
      <c r="A19" s="15"/>
      <c r="B19" s="12"/>
      <c r="C19" s="38"/>
      <c r="D19" s="38"/>
      <c r="E19" s="39"/>
      <c r="G19" s="12"/>
      <c r="H19" s="12"/>
      <c r="I19" s="12"/>
      <c r="K19" s="18">
        <v>46188.0</v>
      </c>
      <c r="L19" s="21"/>
      <c r="M19" s="22" t="s">
        <v>160</v>
      </c>
      <c r="N19" s="22"/>
      <c r="O19" s="24">
        <v>85.0</v>
      </c>
      <c r="P19" s="24">
        <f t="shared" si="1"/>
        <v>4721.01</v>
      </c>
      <c r="Q19" s="27"/>
      <c r="R19" s="19"/>
      <c r="S19" s="19"/>
    </row>
    <row r="20">
      <c r="A20" s="15"/>
      <c r="B20" s="12"/>
      <c r="C20" s="38"/>
      <c r="D20" s="38"/>
      <c r="E20" s="39"/>
      <c r="G20" s="12"/>
      <c r="H20" s="12"/>
      <c r="I20" s="12"/>
      <c r="K20" s="18">
        <v>46188.0</v>
      </c>
      <c r="L20" s="21"/>
      <c r="M20" s="22" t="s">
        <v>119</v>
      </c>
      <c r="N20" s="22"/>
      <c r="O20" s="24">
        <v>229.0</v>
      </c>
      <c r="P20" s="24">
        <f t="shared" si="1"/>
        <v>4492.01</v>
      </c>
      <c r="Q20" s="27"/>
      <c r="R20" s="19"/>
      <c r="S20" s="19"/>
    </row>
    <row r="21">
      <c r="A21" s="15"/>
      <c r="B21" s="12"/>
      <c r="C21" s="38"/>
      <c r="D21" s="38"/>
      <c r="E21" s="39"/>
      <c r="G21" s="12"/>
      <c r="H21" s="12"/>
      <c r="I21" s="12"/>
      <c r="K21" s="18">
        <v>46192.0</v>
      </c>
      <c r="L21" s="21"/>
      <c r="M21" s="22" t="s">
        <v>189</v>
      </c>
      <c r="N21" s="22"/>
      <c r="O21" s="24">
        <v>150.0</v>
      </c>
      <c r="P21" s="24">
        <f t="shared" si="1"/>
        <v>4342.01</v>
      </c>
      <c r="Q21" s="27"/>
      <c r="R21" s="19"/>
      <c r="S21" s="19"/>
    </row>
    <row r="22">
      <c r="A22" s="15"/>
      <c r="B22" s="12"/>
      <c r="C22" s="38"/>
      <c r="D22" s="12"/>
      <c r="E22" s="39"/>
      <c r="G22" s="12"/>
      <c r="H22" s="12"/>
      <c r="I22" s="12"/>
      <c r="K22" s="18">
        <v>46192.0</v>
      </c>
      <c r="L22" s="21"/>
      <c r="M22" s="22" t="s">
        <v>138</v>
      </c>
      <c r="N22" s="22"/>
      <c r="O22" s="24">
        <v>150.0</v>
      </c>
      <c r="P22" s="24">
        <f t="shared" si="1"/>
        <v>4192.01</v>
      </c>
      <c r="Q22" s="27"/>
      <c r="R22" s="19"/>
      <c r="S22" s="19"/>
    </row>
    <row r="23">
      <c r="A23" s="15"/>
      <c r="B23" s="12"/>
      <c r="C23" s="38"/>
      <c r="D23" s="12"/>
      <c r="E23" s="39"/>
      <c r="G23" s="12"/>
      <c r="H23" s="12"/>
      <c r="I23" s="12"/>
      <c r="K23" s="18">
        <v>46198.0</v>
      </c>
      <c r="L23" s="21"/>
      <c r="M23" s="22" t="s">
        <v>216</v>
      </c>
      <c r="N23" s="22"/>
      <c r="O23" s="24">
        <v>209.0</v>
      </c>
      <c r="P23" s="24">
        <f t="shared" si="1"/>
        <v>3983.01</v>
      </c>
      <c r="Q23" s="27"/>
      <c r="R23" s="19"/>
      <c r="S23" s="19"/>
    </row>
    <row r="24">
      <c r="A24" s="15"/>
      <c r="B24" s="12"/>
      <c r="C24" s="12"/>
      <c r="D24" s="12"/>
      <c r="E24" s="39"/>
      <c r="G24" s="12"/>
      <c r="H24" s="12"/>
      <c r="I24" s="12"/>
      <c r="K24" s="18">
        <v>46198.0</v>
      </c>
      <c r="L24" s="21"/>
      <c r="M24" s="22" t="s">
        <v>138</v>
      </c>
      <c r="N24" s="22"/>
      <c r="O24" s="24">
        <v>204.0</v>
      </c>
      <c r="P24" s="24">
        <f t="shared" si="1"/>
        <v>3779.01</v>
      </c>
      <c r="Q24" s="27"/>
      <c r="R24" s="19"/>
      <c r="S24" s="19"/>
    </row>
    <row r="25">
      <c r="A25" s="15"/>
      <c r="B25" s="12"/>
      <c r="C25" s="12"/>
      <c r="D25" s="12"/>
      <c r="E25" s="39"/>
      <c r="G25" s="12"/>
      <c r="H25" s="12"/>
      <c r="I25" s="12"/>
      <c r="K25" s="18">
        <v>46204.0</v>
      </c>
      <c r="L25" s="21"/>
      <c r="M25" s="22" t="s">
        <v>76</v>
      </c>
      <c r="N25" s="22"/>
      <c r="O25" s="24">
        <v>209.0</v>
      </c>
      <c r="P25" s="24">
        <f t="shared" si="1"/>
        <v>3570.01</v>
      </c>
      <c r="Q25" s="27"/>
      <c r="R25" s="19"/>
      <c r="S25" s="19"/>
    </row>
    <row r="26">
      <c r="A26" s="15"/>
      <c r="B26" s="12"/>
      <c r="C26" s="12"/>
      <c r="D26" s="12"/>
      <c r="E26" s="39"/>
      <c r="G26" s="12"/>
      <c r="H26" s="12"/>
      <c r="I26" s="12"/>
      <c r="K26" s="18">
        <v>46204.0</v>
      </c>
      <c r="L26" s="21"/>
      <c r="M26" s="22" t="s">
        <v>90</v>
      </c>
      <c r="N26" s="22"/>
      <c r="O26" s="24">
        <v>5.0</v>
      </c>
      <c r="P26" s="24">
        <f t="shared" si="1"/>
        <v>3565.01</v>
      </c>
      <c r="Q26" s="27"/>
      <c r="R26" s="19"/>
      <c r="S26" s="19"/>
    </row>
    <row r="27">
      <c r="A27" s="15"/>
      <c r="B27" s="12"/>
      <c r="C27" s="12"/>
      <c r="D27" s="12"/>
      <c r="E27" s="39"/>
      <c r="G27" s="12"/>
      <c r="H27" s="12"/>
      <c r="I27" s="12"/>
      <c r="K27" s="18">
        <v>46204.0</v>
      </c>
      <c r="L27" s="21"/>
      <c r="M27" s="22" t="s">
        <v>138</v>
      </c>
      <c r="N27" s="22"/>
      <c r="O27" s="24">
        <v>204.0</v>
      </c>
      <c r="P27" s="24">
        <f t="shared" si="1"/>
        <v>3361.01</v>
      </c>
      <c r="Q27" s="27"/>
      <c r="R27" s="19"/>
      <c r="S27" s="19"/>
    </row>
    <row r="28">
      <c r="A28" s="15"/>
      <c r="B28" s="12"/>
      <c r="C28" s="12"/>
      <c r="D28" s="12"/>
      <c r="E28" s="12"/>
      <c r="G28" s="12"/>
      <c r="H28" s="12"/>
      <c r="I28" s="12"/>
      <c r="K28" s="18">
        <v>46209.0</v>
      </c>
      <c r="L28" s="21"/>
      <c r="M28" s="22" t="s">
        <v>105</v>
      </c>
      <c r="N28" s="22"/>
      <c r="O28" s="24">
        <v>314.0</v>
      </c>
      <c r="P28" s="24">
        <f t="shared" si="1"/>
        <v>3047.01</v>
      </c>
      <c r="Q28" s="27"/>
      <c r="R28" s="19"/>
      <c r="S28" s="19"/>
    </row>
    <row r="29">
      <c r="K29" s="18">
        <v>46209.0</v>
      </c>
      <c r="L29" s="21"/>
      <c r="M29" s="22" t="s">
        <v>160</v>
      </c>
      <c r="N29" s="22"/>
      <c r="O29" s="24">
        <v>85.0</v>
      </c>
      <c r="P29" s="24">
        <f t="shared" si="1"/>
        <v>2962.01</v>
      </c>
      <c r="Q29" s="27"/>
      <c r="R29" s="19"/>
      <c r="S29" s="19"/>
    </row>
    <row r="30">
      <c r="K30" s="18">
        <v>46209.0</v>
      </c>
      <c r="L30" s="21"/>
      <c r="M30" s="22" t="s">
        <v>242</v>
      </c>
      <c r="N30" s="22"/>
      <c r="O30" s="24">
        <v>117.0</v>
      </c>
      <c r="P30" s="24">
        <f t="shared" si="1"/>
        <v>2845.01</v>
      </c>
      <c r="Q30" s="27"/>
      <c r="R30" s="19"/>
      <c r="S30" s="19"/>
    </row>
    <row r="31">
      <c r="K31" s="18">
        <v>46209.0</v>
      </c>
      <c r="L31" s="21"/>
      <c r="M31" s="22" t="s">
        <v>245</v>
      </c>
      <c r="N31" s="22"/>
      <c r="O31" s="24">
        <v>113.0</v>
      </c>
      <c r="P31" s="24">
        <f t="shared" si="1"/>
        <v>2732.01</v>
      </c>
      <c r="Q31" s="27"/>
      <c r="R31" s="19"/>
      <c r="S31" s="19"/>
    </row>
    <row r="32">
      <c r="J32" s="49"/>
      <c r="K32" s="18">
        <v>46210.0</v>
      </c>
      <c r="L32" s="21"/>
      <c r="M32" s="22" t="s">
        <v>250</v>
      </c>
      <c r="N32" s="22"/>
      <c r="O32" s="24">
        <v>126.0</v>
      </c>
      <c r="P32" s="24">
        <f t="shared" si="1"/>
        <v>2606.01</v>
      </c>
      <c r="Q32" s="27"/>
      <c r="R32" s="19"/>
      <c r="S32" s="19"/>
    </row>
    <row r="33">
      <c r="K33" s="18">
        <v>46210.0</v>
      </c>
      <c r="L33" s="21"/>
      <c r="M33" s="22" t="s">
        <v>239</v>
      </c>
      <c r="N33" s="22"/>
      <c r="O33" s="24">
        <v>406.0</v>
      </c>
      <c r="P33" s="24">
        <f t="shared" si="1"/>
        <v>2200.01</v>
      </c>
      <c r="Q33" s="27"/>
      <c r="R33" s="19"/>
      <c r="S33" s="19"/>
    </row>
    <row r="34">
      <c r="K34" s="18">
        <v>46220.0</v>
      </c>
      <c r="L34" s="21"/>
      <c r="M34" s="22" t="s">
        <v>258</v>
      </c>
      <c r="N34" s="22"/>
      <c r="O34" s="24">
        <v>126.0</v>
      </c>
      <c r="P34" s="24">
        <f t="shared" si="1"/>
        <v>2074.01</v>
      </c>
      <c r="Q34" s="27"/>
      <c r="R34" s="19"/>
      <c r="S34" s="19"/>
    </row>
    <row r="35">
      <c r="K35" s="18">
        <v>46220.0</v>
      </c>
      <c r="L35" s="21"/>
      <c r="M35" s="22" t="s">
        <v>262</v>
      </c>
      <c r="N35" s="22"/>
      <c r="O35" s="24">
        <v>126.0</v>
      </c>
      <c r="P35" s="24">
        <f t="shared" si="1"/>
        <v>1948.01</v>
      </c>
      <c r="Q35" s="27"/>
      <c r="R35" s="19"/>
      <c r="S35" s="19"/>
    </row>
    <row r="36">
      <c r="K36" s="18">
        <v>46233.0</v>
      </c>
      <c r="L36" s="21"/>
      <c r="M36" s="22"/>
      <c r="N36" s="22">
        <v>10000.0</v>
      </c>
      <c r="O36" s="24"/>
      <c r="P36" s="24">
        <f t="shared" si="1"/>
        <v>11948.01</v>
      </c>
      <c r="Q36" s="27"/>
      <c r="R36" s="19"/>
      <c r="S36" s="19"/>
    </row>
    <row r="37">
      <c r="K37" s="18">
        <v>46239.0</v>
      </c>
      <c r="L37" s="21"/>
      <c r="M37" s="22" t="s">
        <v>268</v>
      </c>
      <c r="N37" s="22"/>
      <c r="O37" s="24">
        <v>316.0</v>
      </c>
      <c r="P37" s="24">
        <f t="shared" si="1"/>
        <v>11632.01</v>
      </c>
      <c r="Q37" s="27"/>
      <c r="R37" s="19"/>
      <c r="S37" s="19"/>
    </row>
    <row r="38">
      <c r="K38" s="18">
        <v>46239.0</v>
      </c>
      <c r="L38" s="21"/>
      <c r="M38" s="22" t="s">
        <v>136</v>
      </c>
      <c r="N38" s="22"/>
      <c r="O38" s="24">
        <v>270.0</v>
      </c>
      <c r="P38" s="24">
        <f t="shared" si="1"/>
        <v>11362.01</v>
      </c>
      <c r="Q38" s="27"/>
      <c r="R38" s="19"/>
      <c r="S38" s="19"/>
    </row>
    <row r="39">
      <c r="K39" s="18">
        <v>46239.0</v>
      </c>
      <c r="L39" s="21"/>
      <c r="M39" s="22" t="s">
        <v>255</v>
      </c>
      <c r="N39" s="22"/>
      <c r="O39" s="24">
        <v>85.0</v>
      </c>
      <c r="P39" s="24">
        <f t="shared" si="1"/>
        <v>11277.01</v>
      </c>
      <c r="Q39" s="27"/>
      <c r="R39" s="27"/>
      <c r="S39" s="27"/>
    </row>
    <row r="40">
      <c r="K40" s="18">
        <v>46248.0</v>
      </c>
      <c r="L40" s="21"/>
      <c r="M40" s="22" t="s">
        <v>282</v>
      </c>
      <c r="N40" s="22"/>
      <c r="O40" s="24">
        <v>314.0</v>
      </c>
      <c r="P40" s="24">
        <f t="shared" si="1"/>
        <v>10963.01</v>
      </c>
      <c r="Q40" s="27"/>
      <c r="R40" s="27"/>
      <c r="S40" s="27"/>
    </row>
    <row r="41">
      <c r="K41" s="18">
        <v>46248.0</v>
      </c>
      <c r="L41" s="21"/>
      <c r="M41" s="22" t="s">
        <v>132</v>
      </c>
      <c r="N41" s="22"/>
      <c r="O41" s="24">
        <v>85.0</v>
      </c>
      <c r="P41" s="24">
        <f t="shared" si="1"/>
        <v>10878.01</v>
      </c>
      <c r="Q41" s="27"/>
      <c r="R41" s="27"/>
      <c r="S41" s="27"/>
    </row>
    <row r="42">
      <c r="K42" s="18">
        <v>46248.0</v>
      </c>
      <c r="L42" s="21"/>
      <c r="M42" s="22" t="s">
        <v>245</v>
      </c>
      <c r="N42" s="22"/>
      <c r="O42" s="24">
        <v>229.0</v>
      </c>
      <c r="P42" s="24">
        <f t="shared" si="1"/>
        <v>10649.01</v>
      </c>
      <c r="Q42" s="27"/>
      <c r="R42" s="27"/>
      <c r="S42" s="27"/>
    </row>
    <row r="43">
      <c r="K43" s="18">
        <v>46251.0</v>
      </c>
      <c r="L43" s="21"/>
      <c r="M43" s="63" t="s">
        <v>311</v>
      </c>
      <c r="N43" s="22"/>
      <c r="O43" s="24">
        <v>314.0</v>
      </c>
      <c r="P43" s="24">
        <f t="shared" si="1"/>
        <v>10335.01</v>
      </c>
      <c r="Q43" s="27"/>
      <c r="R43" s="27"/>
      <c r="S43" s="27"/>
    </row>
    <row r="44">
      <c r="K44" s="18">
        <v>46251.0</v>
      </c>
      <c r="L44" s="21"/>
      <c r="M44" s="63" t="s">
        <v>320</v>
      </c>
      <c r="N44" s="22"/>
      <c r="O44" s="24">
        <v>85.0</v>
      </c>
      <c r="P44" s="24">
        <f t="shared" si="1"/>
        <v>10250.01</v>
      </c>
      <c r="Q44" s="27"/>
      <c r="R44" s="27"/>
      <c r="S44" s="27"/>
    </row>
    <row r="45">
      <c r="K45" s="18">
        <v>46251.0</v>
      </c>
      <c r="L45" s="21"/>
      <c r="M45" s="63" t="s">
        <v>271</v>
      </c>
      <c r="N45" s="22"/>
      <c r="O45" s="24">
        <v>229.0</v>
      </c>
      <c r="P45" s="24">
        <f t="shared" si="1"/>
        <v>10021.01</v>
      </c>
      <c r="Q45" s="27"/>
      <c r="R45" s="27"/>
      <c r="S45" s="27"/>
    </row>
    <row r="46">
      <c r="K46" s="22" t="s">
        <v>330</v>
      </c>
      <c r="L46" s="21"/>
      <c r="M46" s="63" t="s">
        <v>201</v>
      </c>
      <c r="N46" s="22"/>
      <c r="O46" s="24">
        <v>314.0</v>
      </c>
      <c r="P46" s="24">
        <f t="shared" si="1"/>
        <v>9707.01</v>
      </c>
      <c r="Q46" s="27"/>
      <c r="R46" s="27"/>
      <c r="S46" s="27"/>
    </row>
    <row r="47">
      <c r="K47" s="22" t="s">
        <v>330</v>
      </c>
      <c r="L47" s="21"/>
      <c r="M47" s="63" t="s">
        <v>232</v>
      </c>
      <c r="N47" s="22"/>
      <c r="O47" s="24">
        <v>85.0</v>
      </c>
      <c r="P47" s="24">
        <f t="shared" si="1"/>
        <v>9622.01</v>
      </c>
      <c r="Q47" s="27"/>
      <c r="R47" s="27"/>
      <c r="S47" s="27"/>
    </row>
    <row r="48">
      <c r="K48" s="22" t="s">
        <v>330</v>
      </c>
      <c r="L48" s="21"/>
      <c r="M48" s="63" t="s">
        <v>271</v>
      </c>
      <c r="N48" s="22"/>
      <c r="O48" s="24">
        <v>229.0</v>
      </c>
      <c r="P48" s="24">
        <f t="shared" si="1"/>
        <v>9393.01</v>
      </c>
      <c r="Q48" s="27"/>
      <c r="R48" s="27"/>
      <c r="S48" s="27"/>
    </row>
    <row r="49">
      <c r="K49" s="22" t="s">
        <v>345</v>
      </c>
      <c r="L49" s="21"/>
      <c r="M49" s="63" t="s">
        <v>348</v>
      </c>
      <c r="N49" s="22">
        <v>113.0</v>
      </c>
      <c r="O49" s="24">
        <v>0.0</v>
      </c>
      <c r="P49" s="24">
        <f t="shared" si="1"/>
        <v>9506.01</v>
      </c>
      <c r="Q49" s="27"/>
      <c r="R49" s="27"/>
      <c r="S49" s="27"/>
    </row>
    <row r="50">
      <c r="K50" s="22" t="s">
        <v>345</v>
      </c>
      <c r="L50" s="21"/>
      <c r="M50" s="63" t="s">
        <v>354</v>
      </c>
      <c r="N50" s="22">
        <v>113.0</v>
      </c>
      <c r="O50" s="24">
        <v>0.0</v>
      </c>
      <c r="P50" s="24">
        <f t="shared" si="1"/>
        <v>9619.01</v>
      </c>
      <c r="Q50" s="27"/>
      <c r="R50" s="27"/>
      <c r="S50" s="27"/>
    </row>
    <row r="51">
      <c r="K51" s="22" t="s">
        <v>359</v>
      </c>
      <c r="L51" s="21"/>
      <c r="M51" s="63" t="s">
        <v>362</v>
      </c>
      <c r="N51" s="22"/>
      <c r="O51" s="24">
        <v>314.0</v>
      </c>
      <c r="P51" s="24">
        <f t="shared" si="1"/>
        <v>9305.01</v>
      </c>
      <c r="Q51" s="27"/>
      <c r="R51" s="27"/>
      <c r="S51" s="27"/>
    </row>
    <row r="52">
      <c r="K52" s="22" t="s">
        <v>359</v>
      </c>
      <c r="L52" s="21"/>
      <c r="M52" s="63" t="s">
        <v>367</v>
      </c>
      <c r="N52" s="22"/>
      <c r="O52" s="24">
        <v>85.0</v>
      </c>
      <c r="P52" s="24">
        <f t="shared" si="1"/>
        <v>9220.01</v>
      </c>
      <c r="Q52" s="27"/>
      <c r="R52" s="27"/>
      <c r="S52" s="27"/>
    </row>
    <row r="53">
      <c r="K53" s="22" t="s">
        <v>359</v>
      </c>
      <c r="L53" s="21"/>
      <c r="M53" s="63" t="s">
        <v>271</v>
      </c>
      <c r="N53" s="22"/>
      <c r="O53" s="24">
        <v>229.0</v>
      </c>
      <c r="P53" s="24">
        <f t="shared" si="1"/>
        <v>8991.01</v>
      </c>
      <c r="Q53" s="27"/>
      <c r="R53" s="27"/>
      <c r="S53" s="27"/>
    </row>
    <row r="54">
      <c r="K54" s="22" t="s">
        <v>379</v>
      </c>
      <c r="L54" s="21"/>
      <c r="M54" s="63" t="s">
        <v>380</v>
      </c>
      <c r="N54" s="22">
        <v>113.0</v>
      </c>
      <c r="O54" s="24"/>
      <c r="P54" s="24">
        <f t="shared" si="1"/>
        <v>9104.01</v>
      </c>
      <c r="Q54" s="27"/>
      <c r="R54" s="27"/>
      <c r="S54" s="27"/>
    </row>
    <row r="55">
      <c r="K55" s="22" t="s">
        <v>379</v>
      </c>
      <c r="L55" s="21"/>
      <c r="M55" s="63" t="s">
        <v>383</v>
      </c>
      <c r="N55" s="22">
        <v>113.0</v>
      </c>
      <c r="O55" s="24"/>
      <c r="P55" s="24">
        <f t="shared" si="1"/>
        <v>9217.01</v>
      </c>
      <c r="Q55" s="27"/>
      <c r="R55" s="27"/>
      <c r="S55" s="27"/>
    </row>
    <row r="56">
      <c r="K56" s="22" t="s">
        <v>384</v>
      </c>
      <c r="L56" s="21"/>
      <c r="M56" s="63" t="s">
        <v>201</v>
      </c>
      <c r="N56" s="22"/>
      <c r="O56" s="24">
        <v>314.0</v>
      </c>
      <c r="P56" s="24">
        <f t="shared" si="1"/>
        <v>8903.01</v>
      </c>
      <c r="Q56" s="27"/>
      <c r="R56" s="27"/>
      <c r="S56" s="27"/>
    </row>
    <row r="57">
      <c r="K57" s="22" t="s">
        <v>384</v>
      </c>
      <c r="L57" s="21"/>
      <c r="M57" s="63" t="s">
        <v>112</v>
      </c>
      <c r="N57" s="22"/>
      <c r="O57" s="24">
        <v>129.0</v>
      </c>
      <c r="P57" s="24">
        <f t="shared" si="1"/>
        <v>8774.01</v>
      </c>
      <c r="Q57" s="27"/>
      <c r="R57" s="27"/>
      <c r="S57" s="27"/>
    </row>
    <row r="58">
      <c r="K58" s="22" t="s">
        <v>384</v>
      </c>
      <c r="L58" s="21"/>
      <c r="M58" s="63" t="s">
        <v>392</v>
      </c>
      <c r="N58" s="22"/>
      <c r="O58" s="24">
        <v>135.0</v>
      </c>
      <c r="P58" s="24">
        <f t="shared" si="1"/>
        <v>8639.01</v>
      </c>
      <c r="Q58" s="27"/>
      <c r="R58" s="27"/>
      <c r="S58" s="27"/>
    </row>
    <row r="59">
      <c r="K59" s="22" t="s">
        <v>384</v>
      </c>
      <c r="L59" s="21"/>
      <c r="M59" s="22" t="s">
        <v>393</v>
      </c>
      <c r="N59" s="22"/>
      <c r="O59" s="24">
        <v>264.0</v>
      </c>
      <c r="P59" s="24">
        <f t="shared" si="1"/>
        <v>8375.01</v>
      </c>
      <c r="Q59" s="27"/>
      <c r="R59" s="27"/>
      <c r="S59" s="27"/>
    </row>
    <row r="60">
      <c r="K60" s="22" t="s">
        <v>384</v>
      </c>
      <c r="M60" s="22" t="s">
        <v>117</v>
      </c>
      <c r="N60" s="68"/>
      <c r="O60" s="24">
        <v>85.0</v>
      </c>
      <c r="P60" s="24">
        <f t="shared" si="1"/>
        <v>8290.01</v>
      </c>
    </row>
    <row r="61">
      <c r="K61" s="22" t="s">
        <v>384</v>
      </c>
      <c r="L61" s="21"/>
      <c r="M61" s="22" t="s">
        <v>119</v>
      </c>
      <c r="N61" s="22"/>
      <c r="O61" s="24">
        <v>229.0</v>
      </c>
      <c r="P61" s="24">
        <f t="shared" si="1"/>
        <v>8061.01</v>
      </c>
      <c r="Q61" s="27"/>
      <c r="R61" s="27"/>
      <c r="S61" s="27"/>
    </row>
    <row r="62">
      <c r="K62" s="22" t="s">
        <v>396</v>
      </c>
      <c r="L62" s="21"/>
      <c r="M62" s="22" t="s">
        <v>189</v>
      </c>
      <c r="N62" s="22"/>
      <c r="O62" s="24">
        <v>150.0</v>
      </c>
      <c r="P62" s="24">
        <f t="shared" si="1"/>
        <v>7911.01</v>
      </c>
      <c r="Q62" s="27"/>
      <c r="R62" s="27"/>
      <c r="S62" s="27"/>
    </row>
    <row r="63">
      <c r="K63" s="22" t="s">
        <v>396</v>
      </c>
      <c r="L63" s="12"/>
      <c r="M63" s="22" t="s">
        <v>119</v>
      </c>
      <c r="N63" s="69"/>
      <c r="O63" s="24">
        <v>150.0</v>
      </c>
      <c r="P63" s="24">
        <f t="shared" si="1"/>
        <v>7761.01</v>
      </c>
      <c r="Q63" s="12"/>
      <c r="R63" s="12"/>
      <c r="S63" s="12"/>
    </row>
    <row r="64">
      <c r="K64" s="22" t="s">
        <v>398</v>
      </c>
      <c r="L64" s="12"/>
      <c r="M64" s="22" t="s">
        <v>399</v>
      </c>
      <c r="N64" s="69"/>
      <c r="O64" s="24">
        <v>85.0</v>
      </c>
      <c r="P64" s="24">
        <f t="shared" si="1"/>
        <v>7676.01</v>
      </c>
      <c r="Q64" s="12"/>
      <c r="R64" s="12"/>
      <c r="S64" s="12"/>
    </row>
    <row r="65">
      <c r="K65" s="22" t="s">
        <v>398</v>
      </c>
      <c r="L65" s="12"/>
      <c r="M65" s="22" t="s">
        <v>400</v>
      </c>
      <c r="N65" s="22">
        <v>38.0</v>
      </c>
      <c r="O65" s="69"/>
      <c r="P65" s="24">
        <f t="shared" si="1"/>
        <v>7714.01</v>
      </c>
      <c r="Q65" s="12"/>
      <c r="R65" s="12"/>
      <c r="S65" s="12"/>
    </row>
    <row r="66">
      <c r="K66" s="22" t="s">
        <v>401</v>
      </c>
      <c r="L66" s="12"/>
      <c r="M66" s="22" t="s">
        <v>189</v>
      </c>
      <c r="N66" s="69"/>
      <c r="O66" s="22">
        <v>150.0</v>
      </c>
      <c r="P66" s="24">
        <f t="shared" si="1"/>
        <v>7564.01</v>
      </c>
      <c r="Q66" s="12"/>
      <c r="R66" s="12"/>
      <c r="S66" s="12"/>
    </row>
    <row r="67">
      <c r="K67" s="22" t="s">
        <v>401</v>
      </c>
      <c r="L67" s="12"/>
      <c r="M67" s="22" t="s">
        <v>119</v>
      </c>
      <c r="N67" s="69"/>
      <c r="O67" s="22">
        <v>150.0</v>
      </c>
      <c r="P67" s="24">
        <f t="shared" si="1"/>
        <v>7414.01</v>
      </c>
      <c r="Q67" s="12"/>
      <c r="R67" s="12"/>
      <c r="S67" s="12"/>
    </row>
    <row r="68">
      <c r="K68" s="22" t="s">
        <v>402</v>
      </c>
      <c r="L68" s="12"/>
      <c r="M68" s="22" t="s">
        <v>249</v>
      </c>
      <c r="N68" s="69"/>
      <c r="O68" s="22">
        <v>284.0</v>
      </c>
      <c r="P68" s="24">
        <f t="shared" si="1"/>
        <v>7130.01</v>
      </c>
      <c r="Q68" s="12"/>
      <c r="R68" s="12"/>
      <c r="S68" s="12"/>
    </row>
    <row r="69">
      <c r="K69" s="22" t="s">
        <v>402</v>
      </c>
      <c r="L69" s="12"/>
      <c r="M69" s="22" t="s">
        <v>223</v>
      </c>
      <c r="N69" s="69"/>
      <c r="O69" s="22">
        <v>284.0</v>
      </c>
      <c r="P69" s="24">
        <f t="shared" si="1"/>
        <v>6846.01</v>
      </c>
      <c r="Q69" s="12"/>
      <c r="R69" s="12"/>
      <c r="S69" s="12"/>
    </row>
    <row r="70">
      <c r="K70" s="22" t="s">
        <v>405</v>
      </c>
      <c r="L70" s="12"/>
      <c r="M70" s="22" t="s">
        <v>54</v>
      </c>
      <c r="N70" s="69"/>
      <c r="O70" s="22">
        <v>355.0</v>
      </c>
      <c r="P70" s="24">
        <f t="shared" si="1"/>
        <v>6491.01</v>
      </c>
      <c r="Q70" s="12"/>
      <c r="R70" s="12"/>
      <c r="S70" s="12"/>
    </row>
    <row r="71">
      <c r="K71" s="22" t="s">
        <v>405</v>
      </c>
      <c r="L71" s="12"/>
      <c r="M71" s="22" t="s">
        <v>255</v>
      </c>
      <c r="N71" s="69"/>
      <c r="O71" s="22">
        <v>323.0</v>
      </c>
      <c r="P71" s="24">
        <f t="shared" si="1"/>
        <v>6168.01</v>
      </c>
      <c r="Q71" s="12"/>
      <c r="R71" s="12"/>
      <c r="S71" s="12"/>
    </row>
    <row r="72">
      <c r="K72" s="22" t="s">
        <v>410</v>
      </c>
      <c r="L72" s="12"/>
      <c r="M72" s="22" t="s">
        <v>255</v>
      </c>
      <c r="N72" s="69"/>
      <c r="O72" s="22">
        <v>136.0</v>
      </c>
      <c r="P72" s="24">
        <f t="shared" si="1"/>
        <v>6032.01</v>
      </c>
      <c r="Q72" s="12"/>
      <c r="R72" s="12"/>
      <c r="S72" s="12"/>
    </row>
    <row r="73">
      <c r="K73" s="70">
        <v>46304.0</v>
      </c>
      <c r="L73" s="12"/>
      <c r="M73" s="22" t="s">
        <v>311</v>
      </c>
      <c r="N73" s="69"/>
      <c r="O73" s="22">
        <v>314.0</v>
      </c>
      <c r="P73" s="24">
        <f t="shared" si="1"/>
        <v>5718.01</v>
      </c>
      <c r="Q73" s="12"/>
      <c r="R73" s="12"/>
      <c r="S73" s="12"/>
    </row>
    <row r="74">
      <c r="K74" s="70">
        <v>46304.0</v>
      </c>
      <c r="L74" s="12"/>
      <c r="M74" s="22" t="s">
        <v>112</v>
      </c>
      <c r="N74" s="69"/>
      <c r="O74" s="22">
        <v>129.0</v>
      </c>
      <c r="P74" s="24">
        <f t="shared" si="1"/>
        <v>5589.01</v>
      </c>
      <c r="Q74" s="12"/>
      <c r="R74" s="12"/>
      <c r="S74" s="12"/>
    </row>
    <row r="75">
      <c r="K75" s="70">
        <v>46304.0</v>
      </c>
      <c r="L75" s="12"/>
      <c r="M75" s="22" t="s">
        <v>407</v>
      </c>
      <c r="N75" s="69"/>
      <c r="O75" s="22">
        <v>180.0</v>
      </c>
      <c r="P75" s="24">
        <f t="shared" si="1"/>
        <v>5409.01</v>
      </c>
      <c r="Q75" s="12"/>
      <c r="R75" s="12"/>
      <c r="S75" s="12"/>
    </row>
    <row r="76">
      <c r="K76" s="70">
        <v>46304.0</v>
      </c>
      <c r="L76" s="12"/>
      <c r="M76" s="22" t="s">
        <v>408</v>
      </c>
      <c r="N76" s="69"/>
      <c r="O76" s="22">
        <v>45.0</v>
      </c>
      <c r="P76" s="24">
        <f t="shared" si="1"/>
        <v>5364.01</v>
      </c>
      <c r="Q76" s="12"/>
      <c r="R76" s="12"/>
      <c r="S76" s="12"/>
    </row>
    <row r="77">
      <c r="K77" s="70">
        <v>46304.0</v>
      </c>
      <c r="L77" s="12"/>
      <c r="M77" s="22" t="s">
        <v>409</v>
      </c>
      <c r="N77" s="69"/>
      <c r="O77" s="22">
        <v>264.0</v>
      </c>
      <c r="P77" s="24">
        <f t="shared" si="1"/>
        <v>5100.01</v>
      </c>
      <c r="Q77" s="12"/>
      <c r="R77" s="12"/>
      <c r="S77" s="12"/>
    </row>
    <row r="78">
      <c r="K78" s="70">
        <v>46304.0</v>
      </c>
      <c r="L78" s="12"/>
      <c r="M78" s="22" t="s">
        <v>320</v>
      </c>
      <c r="N78" s="69"/>
      <c r="O78" s="22">
        <v>85.0</v>
      </c>
      <c r="P78" s="24">
        <f t="shared" si="1"/>
        <v>5015.01</v>
      </c>
      <c r="Q78" s="12"/>
      <c r="R78" s="12"/>
      <c r="S78" s="12"/>
    </row>
    <row r="79">
      <c r="K79" s="70">
        <v>46304.0</v>
      </c>
      <c r="L79" s="12"/>
      <c r="M79" s="22" t="s">
        <v>271</v>
      </c>
      <c r="N79" s="69"/>
      <c r="O79" s="22">
        <v>229.0</v>
      </c>
      <c r="P79" s="24">
        <f t="shared" si="1"/>
        <v>4786.01</v>
      </c>
      <c r="Q79" s="12"/>
      <c r="R79" s="12"/>
      <c r="S79" s="12"/>
    </row>
    <row r="80">
      <c r="K80" s="70">
        <v>46306.0</v>
      </c>
      <c r="L80" s="12"/>
      <c r="M80" s="22" t="s">
        <v>414</v>
      </c>
      <c r="N80" s="69"/>
      <c r="O80" s="22">
        <v>314.0</v>
      </c>
      <c r="P80" s="24">
        <f t="shared" si="1"/>
        <v>4472.01</v>
      </c>
      <c r="Q80" s="12"/>
      <c r="R80" s="12"/>
      <c r="S80" s="12"/>
    </row>
    <row r="81">
      <c r="K81" s="70">
        <v>46306.0</v>
      </c>
      <c r="L81" s="12"/>
      <c r="M81" s="22" t="s">
        <v>112</v>
      </c>
      <c r="N81" s="69"/>
      <c r="O81" s="22">
        <v>129.0</v>
      </c>
      <c r="P81" s="24">
        <f t="shared" si="1"/>
        <v>4343.01</v>
      </c>
      <c r="Q81" s="12"/>
      <c r="R81" s="12"/>
      <c r="S81" s="12"/>
    </row>
    <row r="82">
      <c r="K82" s="70">
        <v>46306.0</v>
      </c>
      <c r="L82" s="12"/>
      <c r="M82" s="22" t="s">
        <v>415</v>
      </c>
      <c r="N82" s="69"/>
      <c r="O82" s="22">
        <v>368.0</v>
      </c>
      <c r="P82" s="24">
        <f t="shared" si="1"/>
        <v>3975.01</v>
      </c>
      <c r="Q82" s="12"/>
      <c r="R82" s="12"/>
      <c r="S82" s="12"/>
    </row>
    <row r="83">
      <c r="K83" s="70">
        <v>46306.0</v>
      </c>
      <c r="L83" s="12"/>
      <c r="M83" s="22" t="s">
        <v>417</v>
      </c>
      <c r="N83" s="69"/>
      <c r="O83" s="22">
        <v>117.0</v>
      </c>
      <c r="P83" s="24">
        <f t="shared" si="1"/>
        <v>3858.01</v>
      </c>
      <c r="Q83" s="12"/>
      <c r="R83" s="12"/>
      <c r="S83" s="12"/>
    </row>
    <row r="84">
      <c r="K84" s="70">
        <v>46306.0</v>
      </c>
      <c r="L84" s="12"/>
      <c r="M84" s="22" t="s">
        <v>418</v>
      </c>
      <c r="N84" s="69"/>
      <c r="O84" s="22">
        <v>88.0</v>
      </c>
      <c r="P84" s="24">
        <f t="shared" si="1"/>
        <v>3770.01</v>
      </c>
      <c r="Q84" s="12"/>
      <c r="R84" s="12"/>
      <c r="S84" s="12"/>
    </row>
    <row r="85">
      <c r="K85" s="70">
        <v>46306.0</v>
      </c>
      <c r="L85" s="12"/>
      <c r="M85" s="22" t="s">
        <v>420</v>
      </c>
      <c r="N85" s="69"/>
      <c r="O85" s="22">
        <v>39.0</v>
      </c>
      <c r="P85" s="24">
        <f t="shared" si="1"/>
        <v>3731.01</v>
      </c>
      <c r="Q85" s="12"/>
      <c r="R85" s="12"/>
      <c r="S85" s="12"/>
    </row>
    <row r="86">
      <c r="K86" s="70">
        <v>46306.0</v>
      </c>
      <c r="L86" s="12"/>
      <c r="M86" s="22" t="s">
        <v>408</v>
      </c>
      <c r="N86" s="69"/>
      <c r="O86" s="22">
        <v>45.0</v>
      </c>
      <c r="P86" s="24">
        <f t="shared" si="1"/>
        <v>3686.01</v>
      </c>
      <c r="Q86" s="12"/>
      <c r="R86" s="12"/>
      <c r="S86" s="12"/>
    </row>
    <row r="87">
      <c r="K87" s="70">
        <v>46306.0</v>
      </c>
      <c r="L87" s="12"/>
      <c r="M87" s="22" t="s">
        <v>409</v>
      </c>
      <c r="N87" s="69"/>
      <c r="O87" s="22">
        <v>264.0</v>
      </c>
      <c r="P87" s="24">
        <f t="shared" si="1"/>
        <v>3422.01</v>
      </c>
      <c r="Q87" s="12"/>
      <c r="R87" s="12"/>
      <c r="S87" s="12"/>
    </row>
    <row r="88">
      <c r="K88" s="70">
        <v>46306.0</v>
      </c>
      <c r="L88" s="12"/>
      <c r="M88" s="22" t="s">
        <v>367</v>
      </c>
      <c r="N88" s="69"/>
      <c r="O88" s="22">
        <v>85.0</v>
      </c>
      <c r="P88" s="24">
        <f t="shared" si="1"/>
        <v>3337.01</v>
      </c>
      <c r="Q88" s="12"/>
      <c r="R88" s="12"/>
      <c r="S88" s="12"/>
    </row>
    <row r="89">
      <c r="K89" s="70">
        <v>46306.0</v>
      </c>
      <c r="L89" s="12"/>
      <c r="M89" s="22" t="s">
        <v>271</v>
      </c>
      <c r="N89" s="69"/>
      <c r="O89" s="22">
        <v>229.0</v>
      </c>
      <c r="P89" s="24">
        <f t="shared" si="1"/>
        <v>3108.01</v>
      </c>
      <c r="Q89" s="12"/>
      <c r="R89" s="12"/>
      <c r="S89" s="12"/>
    </row>
    <row r="90">
      <c r="K90" s="70">
        <v>46308.0</v>
      </c>
      <c r="L90" s="12"/>
      <c r="M90" s="22" t="s">
        <v>281</v>
      </c>
      <c r="N90" s="69"/>
      <c r="O90" s="22">
        <v>85.0</v>
      </c>
      <c r="P90" s="24">
        <f t="shared" si="1"/>
        <v>3023.01</v>
      </c>
      <c r="Q90" s="12"/>
      <c r="R90" s="12"/>
      <c r="S90" s="12"/>
    </row>
    <row r="91">
      <c r="K91" s="70">
        <v>46308.0</v>
      </c>
      <c r="L91" s="12"/>
      <c r="M91" s="22" t="s">
        <v>282</v>
      </c>
      <c r="N91" s="69"/>
      <c r="O91" s="22">
        <v>399.0</v>
      </c>
      <c r="P91" s="24">
        <f t="shared" si="1"/>
        <v>2624.01</v>
      </c>
      <c r="Q91" s="12"/>
      <c r="R91" s="12"/>
      <c r="S91" s="12"/>
    </row>
    <row r="92">
      <c r="K92" s="70">
        <v>46308.0</v>
      </c>
      <c r="L92" s="12"/>
      <c r="M92" s="22" t="s">
        <v>112</v>
      </c>
      <c r="N92" s="69"/>
      <c r="O92" s="22">
        <v>129.0</v>
      </c>
      <c r="P92" s="24">
        <f t="shared" si="1"/>
        <v>2495.01</v>
      </c>
      <c r="Q92" s="12"/>
      <c r="R92" s="12"/>
      <c r="S92" s="12"/>
    </row>
    <row r="93">
      <c r="K93" s="70">
        <v>46308.0</v>
      </c>
      <c r="L93" s="12"/>
      <c r="M93" s="22" t="s">
        <v>393</v>
      </c>
      <c r="N93" s="69"/>
      <c r="O93" s="22">
        <v>129.0</v>
      </c>
      <c r="P93" s="24">
        <f t="shared" si="1"/>
        <v>2366.01</v>
      </c>
      <c r="Q93" s="12"/>
      <c r="R93" s="12"/>
      <c r="S93" s="12"/>
    </row>
    <row r="94">
      <c r="K94" s="70">
        <v>46308.0</v>
      </c>
      <c r="L94" s="12"/>
      <c r="M94" s="22" t="s">
        <v>367</v>
      </c>
      <c r="N94" s="69"/>
      <c r="O94" s="22">
        <v>85.0</v>
      </c>
      <c r="P94" s="24">
        <f t="shared" si="1"/>
        <v>2281.01</v>
      </c>
      <c r="Q94" s="12"/>
      <c r="R94" s="12"/>
      <c r="S94" s="12"/>
    </row>
    <row r="95">
      <c r="K95" s="70">
        <v>46308.0</v>
      </c>
      <c r="L95" s="12"/>
      <c r="M95" s="22" t="s">
        <v>136</v>
      </c>
      <c r="N95" s="69"/>
      <c r="O95" s="22">
        <v>314.0</v>
      </c>
      <c r="P95" s="24">
        <f t="shared" si="1"/>
        <v>1967.01</v>
      </c>
      <c r="Q95" s="12"/>
      <c r="R95" s="12"/>
      <c r="S95" s="12"/>
    </row>
    <row r="96">
      <c r="K96" s="70">
        <v>46312.0</v>
      </c>
      <c r="L96" s="12"/>
      <c r="M96" s="22" t="s">
        <v>174</v>
      </c>
      <c r="N96" s="69"/>
      <c r="O96" s="22">
        <v>314.0</v>
      </c>
      <c r="P96" s="24">
        <f t="shared" si="1"/>
        <v>1653.01</v>
      </c>
      <c r="Q96" s="12"/>
      <c r="R96" s="12"/>
      <c r="S96" s="12"/>
    </row>
    <row r="97">
      <c r="K97" s="70">
        <v>46312.0</v>
      </c>
      <c r="L97" s="12"/>
      <c r="M97" s="22" t="s">
        <v>117</v>
      </c>
      <c r="N97" s="69"/>
      <c r="O97" s="22">
        <v>85.0</v>
      </c>
      <c r="P97" s="24">
        <f t="shared" si="1"/>
        <v>1568.01</v>
      </c>
      <c r="Q97" s="12"/>
      <c r="R97" s="12"/>
      <c r="S97" s="12"/>
    </row>
    <row r="98">
      <c r="K98" s="70">
        <v>46312.0</v>
      </c>
      <c r="L98" s="12"/>
      <c r="M98" s="22" t="s">
        <v>138</v>
      </c>
      <c r="N98" s="69"/>
      <c r="O98" s="22">
        <v>229.0</v>
      </c>
      <c r="P98" s="24">
        <f t="shared" si="1"/>
        <v>1339.01</v>
      </c>
      <c r="Q98" s="12"/>
      <c r="R98" s="12"/>
      <c r="S98" s="12"/>
    </row>
    <row r="99">
      <c r="K99" s="69"/>
      <c r="L99" s="12"/>
      <c r="M99" s="69"/>
      <c r="N99" s="69"/>
      <c r="O99" s="69"/>
      <c r="P99" s="24">
        <f t="shared" si="1"/>
        <v>1339.01</v>
      </c>
      <c r="Q99" s="12"/>
      <c r="R99" s="12"/>
      <c r="S99" s="12"/>
    </row>
    <row r="100">
      <c r="K100" s="69"/>
      <c r="L100" s="12"/>
      <c r="M100" s="69"/>
      <c r="N100" s="69"/>
      <c r="O100" s="69"/>
      <c r="P100" s="24">
        <f t="shared" si="1"/>
        <v>1339.01</v>
      </c>
      <c r="Q100" s="12"/>
      <c r="R100" s="12"/>
      <c r="S100" s="12"/>
    </row>
    <row r="101">
      <c r="K101" s="69"/>
      <c r="L101" s="12"/>
      <c r="M101" s="69"/>
      <c r="N101" s="69"/>
      <c r="O101" s="69"/>
      <c r="P101" s="24">
        <f t="shared" si="1"/>
        <v>1339.01</v>
      </c>
      <c r="Q101" s="12"/>
      <c r="R101" s="12"/>
      <c r="S101" s="12"/>
    </row>
    <row r="102">
      <c r="K102" s="69"/>
      <c r="L102" s="12"/>
      <c r="M102" s="69"/>
      <c r="N102" s="69"/>
      <c r="O102" s="69"/>
      <c r="P102" s="24">
        <f t="shared" si="1"/>
        <v>1339.01</v>
      </c>
      <c r="Q102" s="12"/>
      <c r="R102" s="12"/>
      <c r="S102" s="12"/>
    </row>
    <row r="103">
      <c r="K103" s="69"/>
      <c r="L103" s="12"/>
      <c r="M103" s="69"/>
      <c r="N103" s="69"/>
      <c r="O103" s="69"/>
      <c r="P103" s="24">
        <f t="shared" si="1"/>
        <v>1339.01</v>
      </c>
      <c r="Q103" s="12"/>
      <c r="R103" s="12"/>
      <c r="S103" s="12"/>
    </row>
    <row r="104">
      <c r="K104" s="69"/>
      <c r="L104" s="12"/>
      <c r="M104" s="69"/>
      <c r="N104" s="69"/>
      <c r="O104" s="69"/>
      <c r="P104" s="24">
        <f t="shared" si="1"/>
        <v>1339.01</v>
      </c>
      <c r="Q104" s="12"/>
      <c r="R104" s="12"/>
      <c r="S104" s="12"/>
    </row>
    <row r="105">
      <c r="K105" s="69"/>
      <c r="L105" s="12"/>
      <c r="M105" s="69"/>
      <c r="N105" s="69"/>
      <c r="O105" s="69"/>
      <c r="P105" s="24">
        <f t="shared" si="1"/>
        <v>1339.01</v>
      </c>
      <c r="Q105" s="12"/>
      <c r="R105" s="12"/>
      <c r="S105" s="12"/>
    </row>
    <row r="106">
      <c r="K106" s="69"/>
      <c r="L106" s="12"/>
      <c r="M106" s="69"/>
      <c r="N106" s="69"/>
      <c r="O106" s="69"/>
      <c r="P106" s="24">
        <f t="shared" si="1"/>
        <v>1339.01</v>
      </c>
      <c r="Q106" s="12"/>
      <c r="R106" s="12"/>
      <c r="S106" s="12"/>
    </row>
    <row r="107">
      <c r="K107" s="69"/>
      <c r="L107" s="12"/>
      <c r="M107" s="69"/>
      <c r="N107" s="69"/>
      <c r="O107" s="69"/>
      <c r="P107" s="24">
        <f t="shared" si="1"/>
        <v>1339.01</v>
      </c>
      <c r="Q107" s="12"/>
      <c r="R107" s="12"/>
      <c r="S107" s="12"/>
    </row>
    <row r="108">
      <c r="K108" s="69"/>
      <c r="L108" s="12"/>
      <c r="M108" s="69"/>
      <c r="N108" s="69"/>
      <c r="O108" s="69"/>
      <c r="P108" s="24">
        <f t="shared" si="1"/>
        <v>1339.01</v>
      </c>
      <c r="Q108" s="12"/>
      <c r="R108" s="12"/>
      <c r="S108" s="12"/>
    </row>
    <row r="109">
      <c r="K109" s="69"/>
      <c r="L109" s="12"/>
      <c r="M109" s="69"/>
      <c r="N109" s="69"/>
      <c r="O109" s="69"/>
      <c r="P109" s="24">
        <f t="shared" si="1"/>
        <v>1339.01</v>
      </c>
      <c r="Q109" s="12"/>
      <c r="R109" s="12"/>
      <c r="S109" s="12"/>
    </row>
    <row r="110">
      <c r="K110" s="69"/>
      <c r="L110" s="12"/>
      <c r="M110" s="69"/>
      <c r="N110" s="69"/>
      <c r="O110" s="69"/>
      <c r="P110" s="24">
        <f t="shared" si="1"/>
        <v>1339.01</v>
      </c>
      <c r="Q110" s="12"/>
      <c r="R110" s="12"/>
      <c r="S110" s="12"/>
    </row>
    <row r="111">
      <c r="K111" s="69"/>
      <c r="L111" s="12"/>
      <c r="M111" s="69"/>
      <c r="N111" s="69"/>
      <c r="O111" s="69"/>
      <c r="P111" s="24">
        <f t="shared" si="1"/>
        <v>1339.01</v>
      </c>
      <c r="Q111" s="12"/>
      <c r="R111" s="12"/>
      <c r="S111" s="12"/>
    </row>
    <row r="112">
      <c r="K112" s="69"/>
      <c r="L112" s="12"/>
      <c r="M112" s="69"/>
      <c r="N112" s="69"/>
      <c r="O112" s="69"/>
      <c r="P112" s="24">
        <f t="shared" si="1"/>
        <v>1339.01</v>
      </c>
      <c r="Q112" s="12"/>
      <c r="R112" s="12"/>
      <c r="S112" s="12"/>
    </row>
    <row r="113">
      <c r="K113" s="69"/>
      <c r="L113" s="12"/>
      <c r="M113" s="69"/>
      <c r="N113" s="69"/>
      <c r="O113" s="69"/>
      <c r="P113" s="24">
        <f t="shared" si="1"/>
        <v>1339.01</v>
      </c>
      <c r="Q113" s="12"/>
      <c r="R113" s="12"/>
      <c r="S113" s="12"/>
    </row>
    <row r="114">
      <c r="K114" s="69"/>
      <c r="L114" s="12"/>
      <c r="M114" s="69"/>
      <c r="N114" s="69"/>
      <c r="O114" s="69"/>
      <c r="P114" s="24">
        <f t="shared" si="1"/>
        <v>1339.01</v>
      </c>
      <c r="Q114" s="12"/>
      <c r="R114" s="12"/>
      <c r="S114" s="12"/>
    </row>
    <row r="115">
      <c r="K115" s="69"/>
      <c r="L115" s="12"/>
      <c r="M115" s="69"/>
      <c r="N115" s="69"/>
      <c r="O115" s="69"/>
      <c r="P115" s="24">
        <f t="shared" si="1"/>
        <v>1339.01</v>
      </c>
      <c r="Q115" s="12"/>
      <c r="R115" s="12"/>
      <c r="S115" s="12"/>
    </row>
    <row r="116">
      <c r="K116" s="69"/>
      <c r="L116" s="12"/>
      <c r="M116" s="69"/>
      <c r="N116" s="69"/>
      <c r="O116" s="69"/>
      <c r="P116" s="24">
        <f t="shared" si="1"/>
        <v>1339.01</v>
      </c>
      <c r="Q116" s="12"/>
      <c r="R116" s="12"/>
      <c r="S116" s="12"/>
    </row>
    <row r="117">
      <c r="K117" s="69"/>
      <c r="L117" s="12"/>
      <c r="M117" s="69"/>
      <c r="N117" s="69"/>
      <c r="O117" s="69"/>
      <c r="P117" s="24">
        <f t="shared" si="1"/>
        <v>1339.01</v>
      </c>
      <c r="Q117" s="12"/>
      <c r="R117" s="12"/>
      <c r="S117" s="12"/>
    </row>
    <row r="118">
      <c r="K118" s="69"/>
      <c r="L118" s="12"/>
      <c r="M118" s="69"/>
      <c r="N118" s="69"/>
      <c r="O118" s="69"/>
      <c r="P118" s="24">
        <f t="shared" si="1"/>
        <v>1339.01</v>
      </c>
      <c r="Q118" s="12"/>
      <c r="R118" s="12"/>
      <c r="S118" s="12"/>
    </row>
    <row r="119">
      <c r="K119" s="69"/>
      <c r="L119" s="12"/>
      <c r="M119" s="69"/>
      <c r="N119" s="69"/>
      <c r="O119" s="69"/>
      <c r="P119" s="24">
        <f t="shared" si="1"/>
        <v>1339.01</v>
      </c>
      <c r="Q119" s="12"/>
      <c r="R119" s="12"/>
      <c r="S119" s="12"/>
    </row>
    <row r="120">
      <c r="K120" s="69"/>
      <c r="L120" s="12"/>
      <c r="M120" s="69"/>
      <c r="N120" s="69"/>
      <c r="O120" s="69"/>
      <c r="P120" s="24">
        <f t="shared" si="1"/>
        <v>1339.01</v>
      </c>
      <c r="Q120" s="12"/>
      <c r="R120" s="12"/>
      <c r="S120" s="12"/>
    </row>
    <row r="121">
      <c r="K121" s="69"/>
      <c r="L121" s="12"/>
      <c r="M121" s="69"/>
      <c r="N121" s="69"/>
      <c r="O121" s="69"/>
      <c r="P121" s="24">
        <f t="shared" si="1"/>
        <v>1339.01</v>
      </c>
      <c r="Q121" s="12"/>
      <c r="R121" s="12"/>
      <c r="S121" s="12"/>
    </row>
    <row r="122">
      <c r="K122" s="68"/>
      <c r="M122" s="68"/>
      <c r="N122" s="68"/>
      <c r="O122" s="68"/>
      <c r="P122" s="68"/>
    </row>
    <row r="123">
      <c r="K123" s="68"/>
      <c r="M123" s="68"/>
      <c r="N123" s="68"/>
      <c r="O123" s="68"/>
      <c r="P123" s="68"/>
    </row>
    <row r="124">
      <c r="K124" s="68"/>
      <c r="M124" s="68"/>
      <c r="N124" s="68"/>
      <c r="O124" s="68"/>
      <c r="P124" s="68"/>
    </row>
    <row r="125">
      <c r="K125" s="68"/>
      <c r="M125" s="68"/>
      <c r="N125" s="68"/>
      <c r="O125" s="68"/>
      <c r="P125" s="68"/>
    </row>
    <row r="126">
      <c r="K126" s="68"/>
      <c r="M126" s="68"/>
      <c r="N126" s="68"/>
      <c r="O126" s="68"/>
      <c r="P126" s="68"/>
    </row>
    <row r="127">
      <c r="K127" s="68"/>
      <c r="M127" s="68"/>
      <c r="N127" s="68"/>
      <c r="O127" s="68"/>
      <c r="P127" s="68"/>
    </row>
    <row r="128">
      <c r="K128" s="68"/>
      <c r="M128" s="68"/>
      <c r="N128" s="68"/>
      <c r="O128" s="68"/>
      <c r="P128" s="68"/>
    </row>
    <row r="129">
      <c r="K129" s="68"/>
      <c r="M129" s="68"/>
      <c r="N129" s="68"/>
      <c r="O129" s="68"/>
      <c r="P129" s="68"/>
    </row>
    <row r="130">
      <c r="K130" s="68"/>
      <c r="M130" s="68"/>
      <c r="N130" s="68"/>
      <c r="O130" s="68"/>
      <c r="P130" s="68"/>
    </row>
    <row r="131">
      <c r="K131" s="68"/>
      <c r="M131" s="68"/>
      <c r="N131" s="68"/>
      <c r="O131" s="68"/>
      <c r="P131" s="68"/>
    </row>
    <row r="132">
      <c r="K132" s="68"/>
      <c r="M132" s="68"/>
      <c r="N132" s="68"/>
      <c r="O132" s="68"/>
      <c r="P132" s="68"/>
    </row>
    <row r="133">
      <c r="K133" s="68"/>
      <c r="M133" s="68"/>
      <c r="N133" s="68"/>
      <c r="O133" s="68"/>
      <c r="P133" s="68"/>
    </row>
    <row r="134">
      <c r="K134" s="68"/>
      <c r="M134" s="68"/>
      <c r="N134" s="68"/>
      <c r="O134" s="68"/>
      <c r="P134" s="68"/>
    </row>
    <row r="135">
      <c r="K135" s="68"/>
      <c r="M135" s="68"/>
      <c r="N135" s="68"/>
      <c r="O135" s="68"/>
      <c r="P135" s="68"/>
    </row>
    <row r="136">
      <c r="K136" s="68"/>
      <c r="M136" s="68"/>
      <c r="N136" s="68"/>
      <c r="O136" s="68"/>
      <c r="P136" s="68"/>
    </row>
    <row r="137">
      <c r="K137" s="68"/>
      <c r="M137" s="68"/>
      <c r="N137" s="68"/>
      <c r="O137" s="68"/>
      <c r="P137" s="68"/>
    </row>
    <row r="138">
      <c r="K138" s="68"/>
      <c r="M138" s="68"/>
      <c r="N138" s="68"/>
      <c r="O138" s="68"/>
      <c r="P138" s="68"/>
    </row>
    <row r="139">
      <c r="K139" s="68"/>
      <c r="M139" s="68"/>
      <c r="N139" s="68"/>
      <c r="O139" s="68"/>
      <c r="P139" s="68"/>
    </row>
    <row r="140">
      <c r="K140" s="68"/>
      <c r="M140" s="68"/>
      <c r="N140" s="68"/>
      <c r="O140" s="68"/>
      <c r="P140" s="68"/>
    </row>
    <row r="141">
      <c r="K141" s="68"/>
      <c r="M141" s="68"/>
      <c r="N141" s="68"/>
      <c r="O141" s="68"/>
      <c r="P141" s="68"/>
    </row>
    <row r="142">
      <c r="K142" s="68"/>
      <c r="M142" s="68"/>
      <c r="N142" s="68"/>
      <c r="O142" s="68"/>
      <c r="P142" s="68"/>
    </row>
    <row r="143">
      <c r="K143" s="68"/>
      <c r="M143" s="68"/>
      <c r="N143" s="68"/>
      <c r="O143" s="68"/>
      <c r="P143" s="68"/>
    </row>
    <row r="144">
      <c r="K144" s="68"/>
      <c r="M144" s="68"/>
      <c r="N144" s="68"/>
      <c r="O144" s="68"/>
      <c r="P144" s="68"/>
    </row>
    <row r="145">
      <c r="K145" s="68"/>
      <c r="M145" s="68"/>
      <c r="N145" s="68"/>
      <c r="O145" s="68"/>
      <c r="P145" s="68"/>
    </row>
    <row r="146">
      <c r="K146" s="68"/>
      <c r="M146" s="68"/>
      <c r="N146" s="68"/>
      <c r="O146" s="68"/>
      <c r="P146" s="68"/>
    </row>
    <row r="147">
      <c r="K147" s="68"/>
      <c r="M147" s="68"/>
      <c r="N147" s="68"/>
      <c r="O147" s="68"/>
      <c r="P147" s="68"/>
    </row>
    <row r="148">
      <c r="K148" s="68"/>
      <c r="M148" s="68"/>
      <c r="N148" s="68"/>
      <c r="O148" s="68"/>
      <c r="P148" s="68"/>
    </row>
    <row r="149">
      <c r="K149" s="68"/>
      <c r="M149" s="68"/>
      <c r="N149" s="68"/>
      <c r="O149" s="68"/>
      <c r="P149" s="68"/>
    </row>
    <row r="150">
      <c r="K150" s="68"/>
      <c r="M150" s="68"/>
      <c r="N150" s="68"/>
      <c r="O150" s="68"/>
      <c r="P150" s="68"/>
    </row>
    <row r="151">
      <c r="K151" s="68"/>
      <c r="M151" s="68"/>
      <c r="N151" s="68"/>
      <c r="O151" s="68"/>
      <c r="P151" s="68"/>
    </row>
    <row r="152">
      <c r="K152" s="68"/>
      <c r="M152" s="68"/>
      <c r="N152" s="68"/>
      <c r="O152" s="68"/>
      <c r="P152" s="68"/>
    </row>
    <row r="153">
      <c r="K153" s="68"/>
      <c r="M153" s="68"/>
      <c r="N153" s="68"/>
      <c r="O153" s="68"/>
      <c r="P153" s="68"/>
    </row>
    <row r="154">
      <c r="K154" s="68"/>
      <c r="M154" s="68"/>
      <c r="N154" s="68"/>
      <c r="O154" s="68"/>
      <c r="P154" s="68"/>
    </row>
    <row r="155">
      <c r="K155" s="68"/>
      <c r="M155" s="68"/>
      <c r="N155" s="68"/>
      <c r="O155" s="68"/>
      <c r="P155" s="68"/>
    </row>
    <row r="156">
      <c r="K156" s="68"/>
      <c r="M156" s="68"/>
      <c r="N156" s="68"/>
      <c r="O156" s="68"/>
      <c r="P156" s="68"/>
    </row>
    <row r="157">
      <c r="K157" s="68"/>
      <c r="M157" s="68"/>
      <c r="N157" s="68"/>
      <c r="O157" s="68"/>
      <c r="P157" s="68"/>
    </row>
    <row r="158">
      <c r="K158" s="68"/>
      <c r="M158" s="68"/>
      <c r="N158" s="68"/>
      <c r="O158" s="68"/>
      <c r="P158" s="68"/>
    </row>
    <row r="159">
      <c r="K159" s="68"/>
      <c r="M159" s="68"/>
      <c r="N159" s="68"/>
      <c r="O159" s="68"/>
      <c r="P159" s="68"/>
    </row>
    <row r="160">
      <c r="K160" s="68"/>
      <c r="M160" s="68"/>
      <c r="N160" s="68"/>
      <c r="O160" s="68"/>
      <c r="P160" s="68"/>
    </row>
    <row r="161">
      <c r="K161" s="68"/>
      <c r="M161" s="68"/>
      <c r="N161" s="68"/>
      <c r="O161" s="68"/>
      <c r="P161" s="68"/>
    </row>
    <row r="162">
      <c r="K162" s="68"/>
      <c r="M162" s="68"/>
      <c r="N162" s="68"/>
      <c r="O162" s="68"/>
      <c r="P162" s="68"/>
    </row>
    <row r="163">
      <c r="K163" s="68"/>
      <c r="M163" s="68"/>
      <c r="N163" s="68"/>
      <c r="O163" s="68"/>
      <c r="P163" s="68"/>
    </row>
    <row r="164">
      <c r="K164" s="68"/>
      <c r="M164" s="68"/>
      <c r="N164" s="68"/>
      <c r="O164" s="68"/>
      <c r="P164" s="68"/>
    </row>
    <row r="165">
      <c r="K165" s="68"/>
      <c r="M165" s="68"/>
      <c r="N165" s="68"/>
      <c r="O165" s="68"/>
      <c r="P165" s="68"/>
    </row>
    <row r="166">
      <c r="K166" s="68"/>
      <c r="M166" s="68"/>
      <c r="N166" s="68"/>
      <c r="O166" s="68"/>
      <c r="P166" s="68"/>
    </row>
    <row r="167">
      <c r="K167" s="68"/>
      <c r="M167" s="68"/>
      <c r="N167" s="68"/>
      <c r="O167" s="68"/>
      <c r="P167" s="68"/>
    </row>
    <row r="168">
      <c r="K168" s="68"/>
      <c r="M168" s="68"/>
      <c r="N168" s="68"/>
      <c r="O168" s="68"/>
      <c r="P168" s="68"/>
    </row>
    <row r="169">
      <c r="K169" s="68"/>
      <c r="M169" s="68"/>
      <c r="N169" s="68"/>
      <c r="O169" s="68"/>
      <c r="P169" s="68"/>
    </row>
    <row r="170">
      <c r="K170" s="68"/>
      <c r="M170" s="68"/>
      <c r="N170" s="68"/>
      <c r="O170" s="68"/>
      <c r="P170" s="68"/>
    </row>
    <row r="171">
      <c r="K171" s="68"/>
      <c r="M171" s="68"/>
      <c r="N171" s="68"/>
      <c r="O171" s="68"/>
      <c r="P171" s="68"/>
    </row>
    <row r="172">
      <c r="K172" s="68"/>
      <c r="M172" s="68"/>
      <c r="N172" s="68"/>
      <c r="O172" s="68"/>
      <c r="P172" s="68"/>
    </row>
    <row r="173">
      <c r="K173" s="68"/>
      <c r="M173" s="68"/>
      <c r="N173" s="68"/>
      <c r="O173" s="68"/>
      <c r="P173" s="68"/>
    </row>
    <row r="174">
      <c r="K174" s="68"/>
      <c r="M174" s="68"/>
      <c r="N174" s="68"/>
      <c r="O174" s="68"/>
      <c r="P174" s="68"/>
    </row>
    <row r="175">
      <c r="K175" s="68"/>
      <c r="M175" s="68"/>
      <c r="N175" s="68"/>
      <c r="O175" s="68"/>
      <c r="P175" s="68"/>
    </row>
    <row r="176">
      <c r="K176" s="68"/>
      <c r="M176" s="68"/>
      <c r="N176" s="68"/>
      <c r="O176" s="68"/>
      <c r="P176" s="68"/>
    </row>
    <row r="177">
      <c r="K177" s="68"/>
      <c r="M177" s="68"/>
      <c r="N177" s="68"/>
      <c r="O177" s="68"/>
      <c r="P177" s="68"/>
    </row>
    <row r="178">
      <c r="K178" s="68"/>
      <c r="M178" s="68"/>
      <c r="N178" s="68"/>
      <c r="O178" s="68"/>
      <c r="P178" s="68"/>
    </row>
    <row r="179">
      <c r="K179" s="68"/>
      <c r="M179" s="68"/>
      <c r="N179" s="68"/>
      <c r="O179" s="68"/>
      <c r="P179" s="68"/>
    </row>
    <row r="180">
      <c r="K180" s="68"/>
      <c r="M180" s="68"/>
      <c r="N180" s="68"/>
      <c r="O180" s="68"/>
      <c r="P180" s="68"/>
    </row>
    <row r="181">
      <c r="K181" s="68"/>
      <c r="M181" s="68"/>
      <c r="N181" s="68"/>
      <c r="O181" s="68"/>
      <c r="P181" s="68"/>
    </row>
    <row r="182">
      <c r="K182" s="68"/>
      <c r="M182" s="68"/>
      <c r="N182" s="68"/>
      <c r="O182" s="68"/>
      <c r="P182" s="68"/>
    </row>
    <row r="183">
      <c r="K183" s="68"/>
      <c r="M183" s="68"/>
      <c r="N183" s="68"/>
      <c r="O183" s="68"/>
      <c r="P183" s="68"/>
    </row>
    <row r="184">
      <c r="K184" s="68"/>
      <c r="M184" s="68"/>
      <c r="N184" s="68"/>
      <c r="O184" s="68"/>
      <c r="P184" s="68"/>
    </row>
    <row r="185">
      <c r="K185" s="68"/>
      <c r="M185" s="68"/>
      <c r="N185" s="68"/>
      <c r="O185" s="68"/>
      <c r="P185" s="68"/>
    </row>
    <row r="186">
      <c r="K186" s="68"/>
      <c r="M186" s="68"/>
      <c r="N186" s="68"/>
      <c r="O186" s="68"/>
      <c r="P186" s="68"/>
    </row>
    <row r="187">
      <c r="K187" s="68"/>
      <c r="M187" s="68"/>
      <c r="N187" s="68"/>
      <c r="O187" s="68"/>
      <c r="P187" s="68"/>
    </row>
    <row r="188">
      <c r="K188" s="68"/>
      <c r="M188" s="68"/>
      <c r="N188" s="68"/>
      <c r="O188" s="68"/>
      <c r="P188" s="68"/>
    </row>
    <row r="189">
      <c r="K189" s="68"/>
      <c r="M189" s="68"/>
      <c r="N189" s="68"/>
      <c r="O189" s="68"/>
      <c r="P189" s="68"/>
    </row>
    <row r="190">
      <c r="K190" s="68"/>
      <c r="M190" s="68"/>
      <c r="N190" s="68"/>
      <c r="O190" s="68"/>
      <c r="P190" s="68"/>
    </row>
    <row r="191">
      <c r="K191" s="68"/>
      <c r="M191" s="68"/>
      <c r="N191" s="68"/>
      <c r="O191" s="68"/>
      <c r="P191" s="68"/>
    </row>
    <row r="192">
      <c r="K192" s="68"/>
      <c r="M192" s="68"/>
      <c r="N192" s="68"/>
      <c r="O192" s="68"/>
      <c r="P192" s="68"/>
    </row>
    <row r="193">
      <c r="K193" s="68"/>
      <c r="M193" s="68"/>
      <c r="N193" s="68"/>
      <c r="O193" s="68"/>
      <c r="P193" s="68"/>
    </row>
    <row r="194">
      <c r="K194" s="68"/>
      <c r="M194" s="68"/>
      <c r="N194" s="68"/>
      <c r="O194" s="68"/>
      <c r="P194" s="68"/>
    </row>
    <row r="195">
      <c r="K195" s="68"/>
      <c r="M195" s="68"/>
      <c r="N195" s="68"/>
      <c r="O195" s="68"/>
      <c r="P195" s="68"/>
    </row>
    <row r="196">
      <c r="K196" s="68"/>
      <c r="M196" s="68"/>
      <c r="N196" s="68"/>
      <c r="O196" s="68"/>
      <c r="P196" s="68"/>
    </row>
    <row r="197">
      <c r="K197" s="68"/>
      <c r="M197" s="68"/>
      <c r="N197" s="68"/>
      <c r="O197" s="68"/>
      <c r="P197" s="68"/>
    </row>
    <row r="198">
      <c r="K198" s="68"/>
      <c r="M198" s="68"/>
      <c r="N198" s="68"/>
      <c r="O198" s="68"/>
      <c r="P198" s="68"/>
    </row>
    <row r="199">
      <c r="K199" s="68"/>
      <c r="M199" s="68"/>
      <c r="N199" s="68"/>
      <c r="O199" s="68"/>
      <c r="P199" s="68"/>
    </row>
    <row r="200">
      <c r="K200" s="68"/>
      <c r="M200" s="68"/>
      <c r="N200" s="68"/>
      <c r="O200" s="68"/>
      <c r="P200" s="68"/>
    </row>
    <row r="201">
      <c r="K201" s="68"/>
      <c r="M201" s="68"/>
      <c r="N201" s="68"/>
      <c r="O201" s="68"/>
      <c r="P201" s="68"/>
    </row>
    <row r="202">
      <c r="K202" s="68"/>
      <c r="M202" s="68"/>
      <c r="N202" s="68"/>
      <c r="O202" s="68"/>
      <c r="P202" s="68"/>
    </row>
    <row r="203">
      <c r="K203" s="68"/>
      <c r="M203" s="68"/>
      <c r="N203" s="68"/>
      <c r="O203" s="68"/>
      <c r="P203" s="68"/>
    </row>
    <row r="204">
      <c r="K204" s="68"/>
      <c r="M204" s="68"/>
      <c r="N204" s="68"/>
      <c r="O204" s="68"/>
      <c r="P204" s="68"/>
    </row>
    <row r="205">
      <c r="K205" s="68"/>
      <c r="M205" s="68"/>
      <c r="N205" s="68"/>
      <c r="O205" s="68"/>
      <c r="P205" s="68"/>
    </row>
    <row r="206">
      <c r="K206" s="68"/>
      <c r="M206" s="68"/>
      <c r="N206" s="68"/>
      <c r="O206" s="68"/>
      <c r="P206" s="68"/>
    </row>
    <row r="207">
      <c r="K207" s="68"/>
      <c r="M207" s="68"/>
      <c r="N207" s="68"/>
      <c r="O207" s="68"/>
      <c r="P207" s="68"/>
    </row>
    <row r="208">
      <c r="K208" s="68"/>
      <c r="M208" s="68"/>
      <c r="N208" s="68"/>
      <c r="O208" s="68"/>
      <c r="P208" s="68"/>
    </row>
    <row r="209">
      <c r="K209" s="68"/>
      <c r="M209" s="68"/>
      <c r="N209" s="68"/>
      <c r="O209" s="68"/>
      <c r="P209" s="68"/>
    </row>
    <row r="210">
      <c r="K210" s="68"/>
      <c r="M210" s="68"/>
      <c r="N210" s="68"/>
      <c r="O210" s="68"/>
      <c r="P210" s="68"/>
    </row>
    <row r="211">
      <c r="K211" s="68"/>
      <c r="M211" s="68"/>
      <c r="N211" s="68"/>
      <c r="O211" s="68"/>
      <c r="P211" s="68"/>
    </row>
    <row r="212">
      <c r="K212" s="68"/>
      <c r="M212" s="68"/>
      <c r="N212" s="68"/>
      <c r="O212" s="68"/>
      <c r="P212" s="68"/>
    </row>
    <row r="213">
      <c r="K213" s="68"/>
      <c r="M213" s="68"/>
      <c r="N213" s="68"/>
      <c r="O213" s="68"/>
      <c r="P213" s="68"/>
    </row>
    <row r="214">
      <c r="K214" s="68"/>
      <c r="M214" s="68"/>
      <c r="N214" s="68"/>
      <c r="O214" s="68"/>
      <c r="P214" s="68"/>
    </row>
    <row r="215">
      <c r="K215" s="68"/>
      <c r="M215" s="68"/>
      <c r="N215" s="68"/>
      <c r="O215" s="68"/>
      <c r="P215" s="68"/>
    </row>
    <row r="216">
      <c r="K216" s="68"/>
      <c r="M216" s="68"/>
      <c r="N216" s="68"/>
      <c r="O216" s="68"/>
      <c r="P216" s="68"/>
    </row>
    <row r="217">
      <c r="K217" s="68"/>
      <c r="M217" s="68"/>
      <c r="N217" s="68"/>
      <c r="O217" s="68"/>
      <c r="P217" s="68"/>
    </row>
    <row r="218">
      <c r="K218" s="68"/>
      <c r="M218" s="68"/>
      <c r="N218" s="68"/>
      <c r="O218" s="68"/>
      <c r="P218" s="68"/>
    </row>
    <row r="219">
      <c r="K219" s="68"/>
      <c r="M219" s="68"/>
      <c r="N219" s="68"/>
      <c r="O219" s="68"/>
      <c r="P219" s="68"/>
    </row>
    <row r="220">
      <c r="K220" s="68"/>
      <c r="M220" s="68"/>
      <c r="N220" s="68"/>
      <c r="O220" s="68"/>
      <c r="P220" s="68"/>
    </row>
    <row r="221">
      <c r="K221" s="68"/>
      <c r="M221" s="68"/>
      <c r="N221" s="68"/>
      <c r="O221" s="68"/>
      <c r="P221" s="68"/>
    </row>
    <row r="222">
      <c r="K222" s="68"/>
      <c r="M222" s="68"/>
      <c r="N222" s="68"/>
      <c r="O222" s="68"/>
      <c r="P222" s="68"/>
    </row>
    <row r="223">
      <c r="K223" s="68"/>
      <c r="M223" s="68"/>
      <c r="N223" s="68"/>
      <c r="O223" s="68"/>
      <c r="P223" s="68"/>
    </row>
    <row r="224">
      <c r="K224" s="68"/>
      <c r="M224" s="68"/>
      <c r="N224" s="68"/>
      <c r="O224" s="68"/>
      <c r="P224" s="68"/>
    </row>
    <row r="225">
      <c r="K225" s="68"/>
      <c r="M225" s="68"/>
      <c r="N225" s="68"/>
      <c r="O225" s="68"/>
      <c r="P225" s="68"/>
    </row>
    <row r="226">
      <c r="K226" s="68"/>
      <c r="M226" s="68"/>
      <c r="N226" s="68"/>
      <c r="O226" s="68"/>
      <c r="P226" s="68"/>
    </row>
    <row r="227">
      <c r="K227" s="68"/>
      <c r="M227" s="68"/>
      <c r="N227" s="68"/>
      <c r="O227" s="68"/>
      <c r="P227" s="68"/>
    </row>
    <row r="228">
      <c r="K228" s="68"/>
      <c r="M228" s="68"/>
      <c r="N228" s="68"/>
      <c r="O228" s="68"/>
      <c r="P228" s="68"/>
    </row>
    <row r="229">
      <c r="K229" s="68"/>
      <c r="M229" s="68"/>
      <c r="N229" s="68"/>
      <c r="O229" s="68"/>
      <c r="P229" s="68"/>
    </row>
    <row r="230">
      <c r="K230" s="68"/>
      <c r="M230" s="68"/>
      <c r="N230" s="68"/>
      <c r="O230" s="68"/>
      <c r="P230" s="68"/>
    </row>
    <row r="231">
      <c r="K231" s="68"/>
      <c r="M231" s="68"/>
      <c r="N231" s="68"/>
      <c r="O231" s="68"/>
      <c r="P231" s="68"/>
    </row>
    <row r="232">
      <c r="K232" s="68"/>
      <c r="M232" s="68"/>
      <c r="N232" s="68"/>
      <c r="O232" s="68"/>
      <c r="P232" s="68"/>
    </row>
    <row r="233">
      <c r="K233" s="68"/>
      <c r="M233" s="68"/>
      <c r="N233" s="68"/>
      <c r="O233" s="68"/>
      <c r="P233" s="68"/>
    </row>
    <row r="234">
      <c r="K234" s="68"/>
      <c r="M234" s="68"/>
      <c r="N234" s="68"/>
      <c r="O234" s="68"/>
      <c r="P234" s="68"/>
    </row>
    <row r="235">
      <c r="K235" s="68"/>
      <c r="M235" s="68"/>
      <c r="N235" s="68"/>
      <c r="O235" s="68"/>
      <c r="P235" s="68"/>
    </row>
    <row r="236">
      <c r="K236" s="68"/>
      <c r="M236" s="68"/>
      <c r="N236" s="68"/>
      <c r="O236" s="68"/>
      <c r="P236" s="68"/>
    </row>
    <row r="237">
      <c r="K237" s="68"/>
      <c r="M237" s="68"/>
      <c r="N237" s="68"/>
      <c r="O237" s="68"/>
      <c r="P237" s="68"/>
    </row>
    <row r="238">
      <c r="K238" s="68"/>
      <c r="M238" s="68"/>
      <c r="N238" s="68"/>
      <c r="O238" s="68"/>
      <c r="P238" s="68"/>
    </row>
    <row r="239">
      <c r="K239" s="68"/>
      <c r="M239" s="68"/>
      <c r="N239" s="68"/>
      <c r="O239" s="68"/>
      <c r="P239" s="68"/>
    </row>
    <row r="240">
      <c r="K240" s="68"/>
      <c r="M240" s="68"/>
      <c r="N240" s="68"/>
      <c r="O240" s="68"/>
      <c r="P240" s="68"/>
    </row>
    <row r="241">
      <c r="K241" s="68"/>
      <c r="M241" s="68"/>
      <c r="N241" s="68"/>
      <c r="O241" s="68"/>
      <c r="P241" s="68"/>
    </row>
    <row r="242">
      <c r="K242" s="68"/>
      <c r="M242" s="68"/>
      <c r="N242" s="68"/>
      <c r="O242" s="68"/>
      <c r="P242" s="68"/>
    </row>
    <row r="243">
      <c r="K243" s="68"/>
      <c r="M243" s="68"/>
      <c r="N243" s="68"/>
      <c r="O243" s="68"/>
      <c r="P243" s="68"/>
    </row>
    <row r="244">
      <c r="K244" s="68"/>
      <c r="M244" s="68"/>
      <c r="N244" s="68"/>
      <c r="O244" s="68"/>
      <c r="P244" s="68"/>
    </row>
    <row r="245">
      <c r="K245" s="68"/>
      <c r="M245" s="68"/>
      <c r="N245" s="68"/>
      <c r="O245" s="68"/>
      <c r="P245" s="68"/>
    </row>
    <row r="246">
      <c r="K246" s="68"/>
      <c r="M246" s="68"/>
      <c r="N246" s="68"/>
      <c r="O246" s="68"/>
      <c r="P246" s="68"/>
    </row>
    <row r="247">
      <c r="K247" s="68"/>
      <c r="M247" s="68"/>
      <c r="N247" s="68"/>
      <c r="O247" s="68"/>
      <c r="P247" s="68"/>
    </row>
    <row r="248">
      <c r="K248" s="68"/>
      <c r="M248" s="68"/>
      <c r="N248" s="68"/>
      <c r="O248" s="68"/>
      <c r="P248" s="68"/>
    </row>
    <row r="249">
      <c r="K249" s="68"/>
      <c r="M249" s="68"/>
      <c r="N249" s="68"/>
      <c r="O249" s="68"/>
      <c r="P249" s="68"/>
    </row>
    <row r="250">
      <c r="K250" s="68"/>
      <c r="M250" s="68"/>
      <c r="N250" s="68"/>
      <c r="O250" s="68"/>
      <c r="P250" s="68"/>
    </row>
    <row r="251">
      <c r="K251" s="68"/>
      <c r="M251" s="68"/>
      <c r="N251" s="68"/>
      <c r="O251" s="68"/>
      <c r="P251" s="68"/>
    </row>
    <row r="252">
      <c r="K252" s="68"/>
      <c r="M252" s="68"/>
      <c r="N252" s="68"/>
      <c r="O252" s="68"/>
      <c r="P252" s="68"/>
    </row>
    <row r="253">
      <c r="K253" s="68"/>
      <c r="M253" s="68"/>
      <c r="N253" s="68"/>
      <c r="O253" s="68"/>
      <c r="P253" s="68"/>
    </row>
    <row r="254">
      <c r="K254" s="68"/>
      <c r="M254" s="68"/>
      <c r="N254" s="68"/>
      <c r="O254" s="68"/>
      <c r="P254" s="68"/>
    </row>
    <row r="255">
      <c r="K255" s="68"/>
      <c r="M255" s="68"/>
      <c r="N255" s="68"/>
      <c r="O255" s="68"/>
      <c r="P255" s="68"/>
    </row>
    <row r="256">
      <c r="K256" s="68"/>
      <c r="M256" s="68"/>
      <c r="N256" s="68"/>
      <c r="O256" s="68"/>
      <c r="P256" s="68"/>
    </row>
    <row r="257">
      <c r="K257" s="68"/>
      <c r="M257" s="68"/>
      <c r="N257" s="68"/>
      <c r="O257" s="68"/>
      <c r="P257" s="68"/>
    </row>
    <row r="258">
      <c r="K258" s="68"/>
      <c r="M258" s="68"/>
      <c r="N258" s="68"/>
      <c r="O258" s="68"/>
      <c r="P258" s="68"/>
    </row>
    <row r="259">
      <c r="K259" s="68"/>
      <c r="M259" s="68"/>
      <c r="N259" s="68"/>
      <c r="O259" s="68"/>
      <c r="P259" s="68"/>
    </row>
    <row r="260">
      <c r="K260" s="68"/>
      <c r="M260" s="68"/>
      <c r="N260" s="68"/>
      <c r="O260" s="68"/>
      <c r="P260" s="68"/>
    </row>
    <row r="261">
      <c r="K261" s="68"/>
      <c r="M261" s="68"/>
      <c r="N261" s="68"/>
      <c r="O261" s="68"/>
      <c r="P261" s="68"/>
    </row>
    <row r="262">
      <c r="K262" s="68"/>
      <c r="M262" s="68"/>
      <c r="N262" s="68"/>
      <c r="O262" s="68"/>
      <c r="P262" s="68"/>
    </row>
    <row r="263">
      <c r="K263" s="68"/>
      <c r="M263" s="68"/>
      <c r="N263" s="68"/>
      <c r="O263" s="68"/>
      <c r="P263" s="68"/>
    </row>
    <row r="264">
      <c r="K264" s="68"/>
      <c r="M264" s="68"/>
      <c r="N264" s="68"/>
      <c r="O264" s="68"/>
      <c r="P264" s="68"/>
    </row>
    <row r="265">
      <c r="K265" s="68"/>
      <c r="M265" s="68"/>
      <c r="N265" s="68"/>
      <c r="O265" s="68"/>
      <c r="P265" s="68"/>
    </row>
    <row r="266">
      <c r="K266" s="68"/>
      <c r="M266" s="68"/>
      <c r="N266" s="68"/>
      <c r="O266" s="68"/>
      <c r="P266" s="68"/>
    </row>
    <row r="267">
      <c r="K267" s="68"/>
      <c r="M267" s="68"/>
      <c r="N267" s="68"/>
      <c r="O267" s="68"/>
      <c r="P267" s="68"/>
    </row>
    <row r="268">
      <c r="K268" s="68"/>
      <c r="M268" s="68"/>
      <c r="N268" s="68"/>
      <c r="O268" s="68"/>
      <c r="P268" s="68"/>
    </row>
    <row r="269">
      <c r="K269" s="68"/>
      <c r="M269" s="68"/>
      <c r="N269" s="68"/>
      <c r="O269" s="68"/>
      <c r="P269" s="68"/>
    </row>
    <row r="270">
      <c r="K270" s="68"/>
      <c r="M270" s="68"/>
      <c r="N270" s="68"/>
      <c r="O270" s="68"/>
      <c r="P270" s="68"/>
    </row>
    <row r="271">
      <c r="K271" s="68"/>
      <c r="M271" s="68"/>
      <c r="N271" s="68"/>
      <c r="O271" s="68"/>
      <c r="P271" s="68"/>
    </row>
    <row r="272">
      <c r="K272" s="68"/>
      <c r="M272" s="68"/>
      <c r="N272" s="68"/>
      <c r="O272" s="68"/>
      <c r="P272" s="68"/>
    </row>
    <row r="273">
      <c r="K273" s="68"/>
      <c r="M273" s="68"/>
      <c r="N273" s="68"/>
      <c r="O273" s="68"/>
      <c r="P273" s="68"/>
    </row>
    <row r="274">
      <c r="K274" s="68"/>
      <c r="M274" s="68"/>
      <c r="N274" s="68"/>
      <c r="O274" s="68"/>
      <c r="P274" s="68"/>
    </row>
    <row r="275">
      <c r="K275" s="68"/>
      <c r="M275" s="68"/>
      <c r="N275" s="68"/>
      <c r="O275" s="68"/>
      <c r="P275" s="68"/>
    </row>
    <row r="276">
      <c r="K276" s="68"/>
      <c r="M276" s="68"/>
      <c r="N276" s="68"/>
      <c r="O276" s="68"/>
      <c r="P276" s="68"/>
    </row>
    <row r="277">
      <c r="K277" s="68"/>
      <c r="M277" s="68"/>
      <c r="N277" s="68"/>
      <c r="O277" s="68"/>
      <c r="P277" s="68"/>
    </row>
    <row r="278">
      <c r="K278" s="68"/>
      <c r="M278" s="68"/>
      <c r="N278" s="68"/>
      <c r="O278" s="68"/>
      <c r="P278" s="68"/>
    </row>
    <row r="279">
      <c r="K279" s="68"/>
      <c r="M279" s="68"/>
      <c r="N279" s="68"/>
      <c r="O279" s="68"/>
      <c r="P279" s="68"/>
    </row>
    <row r="280">
      <c r="K280" s="68"/>
      <c r="M280" s="68"/>
      <c r="N280" s="68"/>
      <c r="O280" s="68"/>
      <c r="P280" s="68"/>
    </row>
    <row r="281">
      <c r="K281" s="68"/>
      <c r="M281" s="68"/>
      <c r="N281" s="68"/>
      <c r="O281" s="68"/>
      <c r="P281" s="68"/>
    </row>
    <row r="282">
      <c r="K282" s="68"/>
      <c r="M282" s="68"/>
      <c r="N282" s="68"/>
      <c r="O282" s="68"/>
      <c r="P282" s="68"/>
    </row>
    <row r="283">
      <c r="K283" s="68"/>
      <c r="M283" s="68"/>
      <c r="N283" s="68"/>
      <c r="O283" s="68"/>
      <c r="P283" s="68"/>
    </row>
    <row r="284">
      <c r="K284" s="68"/>
      <c r="M284" s="68"/>
      <c r="N284" s="68"/>
      <c r="O284" s="68"/>
      <c r="P284" s="68"/>
    </row>
    <row r="285">
      <c r="K285" s="68"/>
      <c r="M285" s="68"/>
      <c r="N285" s="68"/>
      <c r="O285" s="68"/>
      <c r="P285" s="68"/>
    </row>
    <row r="286">
      <c r="K286" s="68"/>
      <c r="M286" s="68"/>
      <c r="N286" s="68"/>
      <c r="O286" s="68"/>
      <c r="P286" s="68"/>
    </row>
    <row r="287">
      <c r="K287" s="68"/>
      <c r="M287" s="68"/>
      <c r="N287" s="68"/>
      <c r="O287" s="68"/>
      <c r="P287" s="68"/>
    </row>
    <row r="288">
      <c r="K288" s="68"/>
      <c r="M288" s="68"/>
      <c r="N288" s="68"/>
      <c r="O288" s="68"/>
      <c r="P288" s="68"/>
    </row>
    <row r="289">
      <c r="K289" s="68"/>
      <c r="M289" s="68"/>
      <c r="N289" s="68"/>
      <c r="O289" s="68"/>
      <c r="P289" s="68"/>
    </row>
    <row r="290">
      <c r="K290" s="68"/>
      <c r="M290" s="68"/>
      <c r="N290" s="68"/>
      <c r="O290" s="68"/>
      <c r="P290" s="68"/>
    </row>
    <row r="291">
      <c r="K291" s="68"/>
      <c r="M291" s="68"/>
      <c r="N291" s="68"/>
      <c r="O291" s="68"/>
      <c r="P291" s="68"/>
    </row>
    <row r="292">
      <c r="K292" s="68"/>
      <c r="M292" s="68"/>
      <c r="N292" s="68"/>
      <c r="O292" s="68"/>
      <c r="P292" s="68"/>
    </row>
    <row r="293">
      <c r="K293" s="68"/>
      <c r="M293" s="68"/>
      <c r="N293" s="68"/>
      <c r="O293" s="68"/>
      <c r="P293" s="68"/>
    </row>
    <row r="294">
      <c r="K294" s="68"/>
      <c r="M294" s="68"/>
      <c r="N294" s="68"/>
      <c r="O294" s="68"/>
      <c r="P294" s="68"/>
    </row>
    <row r="295">
      <c r="K295" s="68"/>
      <c r="M295" s="68"/>
      <c r="N295" s="68"/>
      <c r="O295" s="68"/>
      <c r="P295" s="68"/>
    </row>
    <row r="296">
      <c r="K296" s="68"/>
      <c r="M296" s="68"/>
      <c r="N296" s="68"/>
      <c r="O296" s="68"/>
      <c r="P296" s="68"/>
    </row>
    <row r="297">
      <c r="K297" s="68"/>
      <c r="M297" s="68"/>
      <c r="N297" s="68"/>
      <c r="O297" s="68"/>
      <c r="P297" s="68"/>
    </row>
    <row r="298">
      <c r="K298" s="68"/>
      <c r="M298" s="68"/>
      <c r="N298" s="68"/>
      <c r="O298" s="68"/>
      <c r="P298" s="68"/>
    </row>
    <row r="299">
      <c r="K299" s="68"/>
      <c r="M299" s="68"/>
      <c r="N299" s="68"/>
      <c r="O299" s="68"/>
      <c r="P299" s="68"/>
    </row>
    <row r="300">
      <c r="K300" s="68"/>
      <c r="M300" s="68"/>
      <c r="N300" s="68"/>
      <c r="O300" s="68"/>
      <c r="P300" s="68"/>
    </row>
    <row r="301">
      <c r="K301" s="68"/>
      <c r="M301" s="68"/>
      <c r="N301" s="68"/>
      <c r="O301" s="68"/>
      <c r="P301" s="68"/>
    </row>
    <row r="302">
      <c r="K302" s="68"/>
      <c r="M302" s="68"/>
      <c r="N302" s="68"/>
      <c r="O302" s="68"/>
      <c r="P302" s="68"/>
    </row>
    <row r="303">
      <c r="K303" s="68"/>
      <c r="M303" s="68"/>
      <c r="N303" s="68"/>
      <c r="O303" s="68"/>
      <c r="P303" s="68"/>
    </row>
    <row r="304">
      <c r="K304" s="68"/>
      <c r="M304" s="68"/>
      <c r="N304" s="68"/>
      <c r="O304" s="68"/>
      <c r="P304" s="68"/>
    </row>
    <row r="305">
      <c r="K305" s="68"/>
      <c r="M305" s="68"/>
      <c r="N305" s="68"/>
      <c r="O305" s="68"/>
      <c r="P305" s="68"/>
    </row>
    <row r="306">
      <c r="K306" s="68"/>
      <c r="M306" s="68"/>
      <c r="N306" s="68"/>
      <c r="O306" s="68"/>
      <c r="P306" s="68"/>
    </row>
    <row r="307">
      <c r="K307" s="68"/>
      <c r="M307" s="68"/>
      <c r="N307" s="68"/>
      <c r="O307" s="68"/>
      <c r="P307" s="68"/>
    </row>
    <row r="308">
      <c r="K308" s="68"/>
      <c r="M308" s="68"/>
      <c r="N308" s="68"/>
      <c r="O308" s="68"/>
      <c r="P308" s="68"/>
    </row>
    <row r="309">
      <c r="K309" s="68"/>
      <c r="M309" s="68"/>
      <c r="N309" s="68"/>
      <c r="O309" s="68"/>
      <c r="P309" s="68"/>
    </row>
    <row r="310">
      <c r="K310" s="68"/>
      <c r="M310" s="68"/>
      <c r="N310" s="68"/>
      <c r="O310" s="68"/>
      <c r="P310" s="68"/>
    </row>
    <row r="311">
      <c r="K311" s="68"/>
      <c r="M311" s="68"/>
      <c r="N311" s="68"/>
      <c r="O311" s="68"/>
      <c r="P311" s="68"/>
    </row>
    <row r="312">
      <c r="K312" s="68"/>
      <c r="M312" s="68"/>
      <c r="N312" s="68"/>
      <c r="O312" s="68"/>
      <c r="P312" s="68"/>
    </row>
    <row r="313">
      <c r="K313" s="68"/>
      <c r="M313" s="68"/>
      <c r="N313" s="68"/>
      <c r="O313" s="68"/>
      <c r="P313" s="68"/>
    </row>
    <row r="314">
      <c r="K314" s="68"/>
      <c r="M314" s="68"/>
      <c r="N314" s="68"/>
      <c r="O314" s="68"/>
      <c r="P314" s="68"/>
    </row>
    <row r="315">
      <c r="K315" s="68"/>
      <c r="M315" s="68"/>
      <c r="N315" s="68"/>
      <c r="O315" s="68"/>
      <c r="P315" s="68"/>
    </row>
    <row r="316">
      <c r="K316" s="68"/>
      <c r="M316" s="68"/>
      <c r="N316" s="68"/>
      <c r="O316" s="68"/>
      <c r="P316" s="68"/>
    </row>
    <row r="317">
      <c r="K317" s="68"/>
      <c r="M317" s="68"/>
      <c r="N317" s="68"/>
      <c r="O317" s="68"/>
      <c r="P317" s="68"/>
    </row>
    <row r="318">
      <c r="K318" s="68"/>
      <c r="M318" s="68"/>
      <c r="N318" s="68"/>
      <c r="O318" s="68"/>
      <c r="P318" s="68"/>
    </row>
    <row r="319">
      <c r="K319" s="68"/>
      <c r="M319" s="68"/>
      <c r="N319" s="68"/>
      <c r="O319" s="68"/>
      <c r="P319" s="68"/>
    </row>
    <row r="320">
      <c r="K320" s="68"/>
      <c r="M320" s="68"/>
      <c r="N320" s="68"/>
      <c r="O320" s="68"/>
      <c r="P320" s="68"/>
    </row>
    <row r="321">
      <c r="K321" s="68"/>
      <c r="M321" s="68"/>
      <c r="N321" s="68"/>
      <c r="O321" s="68"/>
      <c r="P321" s="68"/>
    </row>
    <row r="322">
      <c r="K322" s="68"/>
      <c r="M322" s="68"/>
      <c r="N322" s="68"/>
      <c r="O322" s="68"/>
      <c r="P322" s="68"/>
    </row>
    <row r="323">
      <c r="K323" s="68"/>
      <c r="M323" s="68"/>
      <c r="N323" s="68"/>
      <c r="O323" s="68"/>
      <c r="P323" s="68"/>
    </row>
    <row r="324">
      <c r="K324" s="68"/>
      <c r="M324" s="68"/>
      <c r="N324" s="68"/>
      <c r="O324" s="68"/>
      <c r="P324" s="68"/>
    </row>
    <row r="325">
      <c r="K325" s="68"/>
      <c r="M325" s="68"/>
      <c r="N325" s="68"/>
      <c r="O325" s="68"/>
      <c r="P325" s="68"/>
    </row>
    <row r="326">
      <c r="K326" s="68"/>
      <c r="M326" s="68"/>
      <c r="N326" s="68"/>
      <c r="O326" s="68"/>
      <c r="P326" s="68"/>
    </row>
    <row r="327">
      <c r="K327" s="68"/>
      <c r="M327" s="68"/>
      <c r="N327" s="68"/>
      <c r="O327" s="68"/>
      <c r="P327" s="68"/>
    </row>
    <row r="328">
      <c r="K328" s="68"/>
      <c r="M328" s="68"/>
      <c r="N328" s="68"/>
      <c r="O328" s="68"/>
      <c r="P328" s="68"/>
    </row>
    <row r="329">
      <c r="K329" s="68"/>
      <c r="M329" s="68"/>
      <c r="N329" s="68"/>
      <c r="O329" s="68"/>
      <c r="P329" s="68"/>
    </row>
    <row r="330">
      <c r="K330" s="68"/>
      <c r="M330" s="68"/>
      <c r="N330" s="68"/>
      <c r="O330" s="68"/>
      <c r="P330" s="68"/>
    </row>
    <row r="331">
      <c r="K331" s="68"/>
      <c r="M331" s="68"/>
      <c r="N331" s="68"/>
      <c r="O331" s="68"/>
      <c r="P331" s="68"/>
    </row>
    <row r="332">
      <c r="K332" s="68"/>
      <c r="M332" s="68"/>
      <c r="N332" s="68"/>
      <c r="O332" s="68"/>
      <c r="P332" s="68"/>
    </row>
    <row r="333">
      <c r="K333" s="68"/>
      <c r="M333" s="68"/>
      <c r="N333" s="68"/>
      <c r="O333" s="68"/>
      <c r="P333" s="68"/>
    </row>
    <row r="334">
      <c r="K334" s="68"/>
      <c r="M334" s="68"/>
      <c r="N334" s="68"/>
      <c r="O334" s="68"/>
      <c r="P334" s="68"/>
    </row>
    <row r="335">
      <c r="K335" s="68"/>
      <c r="M335" s="68"/>
      <c r="N335" s="68"/>
      <c r="O335" s="68"/>
      <c r="P335" s="68"/>
    </row>
    <row r="336">
      <c r="K336" s="68"/>
      <c r="M336" s="68"/>
      <c r="N336" s="68"/>
      <c r="O336" s="68"/>
      <c r="P336" s="68"/>
    </row>
    <row r="337">
      <c r="K337" s="68"/>
      <c r="M337" s="68"/>
      <c r="N337" s="68"/>
      <c r="O337" s="68"/>
      <c r="P337" s="68"/>
    </row>
    <row r="338">
      <c r="K338" s="68"/>
      <c r="M338" s="68"/>
      <c r="N338" s="68"/>
      <c r="O338" s="68"/>
      <c r="P338" s="68"/>
    </row>
    <row r="339">
      <c r="K339" s="68"/>
      <c r="M339" s="68"/>
      <c r="N339" s="68"/>
      <c r="O339" s="68"/>
      <c r="P339" s="68"/>
    </row>
    <row r="340">
      <c r="K340" s="68"/>
      <c r="M340" s="68"/>
      <c r="N340" s="68"/>
      <c r="O340" s="68"/>
      <c r="P340" s="68"/>
    </row>
    <row r="341">
      <c r="K341" s="68"/>
      <c r="M341" s="68"/>
      <c r="N341" s="68"/>
      <c r="O341" s="68"/>
      <c r="P341" s="68"/>
    </row>
    <row r="342">
      <c r="K342" s="68"/>
      <c r="M342" s="68"/>
      <c r="N342" s="68"/>
      <c r="O342" s="68"/>
      <c r="P342" s="68"/>
    </row>
    <row r="343">
      <c r="K343" s="68"/>
      <c r="M343" s="68"/>
      <c r="N343" s="68"/>
      <c r="O343" s="68"/>
      <c r="P343" s="68"/>
    </row>
    <row r="344">
      <c r="K344" s="68"/>
      <c r="M344" s="68"/>
      <c r="N344" s="68"/>
      <c r="O344" s="68"/>
      <c r="P344" s="68"/>
    </row>
    <row r="345">
      <c r="K345" s="68"/>
      <c r="M345" s="68"/>
      <c r="N345" s="68"/>
      <c r="O345" s="68"/>
      <c r="P345" s="68"/>
    </row>
    <row r="346">
      <c r="K346" s="68"/>
      <c r="M346" s="68"/>
      <c r="N346" s="68"/>
      <c r="O346" s="68"/>
      <c r="P346" s="68"/>
    </row>
    <row r="347">
      <c r="K347" s="68"/>
      <c r="M347" s="68"/>
      <c r="N347" s="68"/>
      <c r="O347" s="68"/>
      <c r="P347" s="68"/>
    </row>
    <row r="348">
      <c r="K348" s="68"/>
      <c r="M348" s="68"/>
      <c r="N348" s="68"/>
      <c r="O348" s="68"/>
      <c r="P348" s="68"/>
    </row>
    <row r="349">
      <c r="K349" s="68"/>
      <c r="M349" s="68"/>
      <c r="N349" s="68"/>
      <c r="O349" s="68"/>
      <c r="P349" s="68"/>
    </row>
    <row r="350">
      <c r="K350" s="68"/>
      <c r="M350" s="68"/>
      <c r="N350" s="68"/>
      <c r="O350" s="68"/>
      <c r="P350" s="68"/>
    </row>
    <row r="351">
      <c r="K351" s="68"/>
      <c r="M351" s="68"/>
      <c r="N351" s="68"/>
      <c r="O351" s="68"/>
      <c r="P351" s="68"/>
    </row>
    <row r="352">
      <c r="K352" s="68"/>
      <c r="M352" s="68"/>
      <c r="N352" s="68"/>
      <c r="O352" s="68"/>
      <c r="P352" s="68"/>
    </row>
    <row r="353">
      <c r="K353" s="68"/>
      <c r="M353" s="68"/>
      <c r="N353" s="68"/>
      <c r="O353" s="68"/>
      <c r="P353" s="68"/>
    </row>
    <row r="354">
      <c r="K354" s="68"/>
      <c r="M354" s="68"/>
      <c r="N354" s="68"/>
      <c r="O354" s="68"/>
      <c r="P354" s="68"/>
    </row>
    <row r="355">
      <c r="K355" s="68"/>
      <c r="M355" s="68"/>
      <c r="N355" s="68"/>
      <c r="O355" s="68"/>
      <c r="P355" s="68"/>
    </row>
    <row r="356">
      <c r="K356" s="68"/>
      <c r="M356" s="68"/>
      <c r="N356" s="68"/>
      <c r="O356" s="68"/>
      <c r="P356" s="68"/>
    </row>
    <row r="357">
      <c r="K357" s="68"/>
      <c r="M357" s="68"/>
      <c r="N357" s="68"/>
      <c r="O357" s="68"/>
      <c r="P357" s="68"/>
    </row>
    <row r="358">
      <c r="K358" s="68"/>
      <c r="M358" s="68"/>
      <c r="N358" s="68"/>
      <c r="O358" s="68"/>
      <c r="P358" s="68"/>
    </row>
    <row r="359">
      <c r="K359" s="68"/>
      <c r="M359" s="68"/>
      <c r="N359" s="68"/>
      <c r="O359" s="68"/>
      <c r="P359" s="68"/>
    </row>
    <row r="360">
      <c r="K360" s="68"/>
      <c r="M360" s="68"/>
      <c r="N360" s="68"/>
      <c r="O360" s="68"/>
      <c r="P360" s="68"/>
    </row>
    <row r="361">
      <c r="K361" s="68"/>
      <c r="M361" s="68"/>
      <c r="N361" s="68"/>
      <c r="O361" s="68"/>
      <c r="P361" s="68"/>
    </row>
    <row r="362">
      <c r="K362" s="68"/>
      <c r="M362" s="68"/>
      <c r="N362" s="68"/>
      <c r="O362" s="68"/>
      <c r="P362" s="68"/>
    </row>
    <row r="363">
      <c r="K363" s="68"/>
      <c r="M363" s="68"/>
      <c r="N363" s="68"/>
      <c r="O363" s="68"/>
      <c r="P363" s="68"/>
    </row>
    <row r="364">
      <c r="K364" s="68"/>
      <c r="M364" s="68"/>
      <c r="N364" s="68"/>
      <c r="O364" s="68"/>
      <c r="P364" s="68"/>
    </row>
    <row r="365">
      <c r="K365" s="68"/>
      <c r="M365" s="68"/>
      <c r="N365" s="68"/>
      <c r="O365" s="68"/>
      <c r="P365" s="68"/>
    </row>
    <row r="366">
      <c r="K366" s="68"/>
      <c r="M366" s="68"/>
      <c r="N366" s="68"/>
      <c r="O366" s="68"/>
      <c r="P366" s="68"/>
    </row>
    <row r="367">
      <c r="K367" s="68"/>
      <c r="M367" s="68"/>
      <c r="N367" s="68"/>
      <c r="O367" s="68"/>
      <c r="P367" s="68"/>
    </row>
    <row r="368">
      <c r="K368" s="68"/>
      <c r="M368" s="68"/>
      <c r="N368" s="68"/>
      <c r="O368" s="68"/>
      <c r="P368" s="68"/>
    </row>
    <row r="369">
      <c r="K369" s="68"/>
      <c r="M369" s="68"/>
      <c r="N369" s="68"/>
      <c r="O369" s="68"/>
      <c r="P369" s="68"/>
    </row>
    <row r="370">
      <c r="K370" s="68"/>
      <c r="M370" s="68"/>
      <c r="N370" s="68"/>
      <c r="O370" s="68"/>
      <c r="P370" s="68"/>
    </row>
    <row r="371">
      <c r="K371" s="68"/>
      <c r="M371" s="68"/>
      <c r="N371" s="68"/>
      <c r="O371" s="68"/>
      <c r="P371" s="68"/>
    </row>
    <row r="372">
      <c r="K372" s="68"/>
      <c r="M372" s="68"/>
      <c r="N372" s="68"/>
      <c r="O372" s="68"/>
      <c r="P372" s="68"/>
    </row>
    <row r="373">
      <c r="K373" s="68"/>
      <c r="M373" s="68"/>
      <c r="N373" s="68"/>
      <c r="O373" s="68"/>
      <c r="P373" s="68"/>
    </row>
    <row r="374">
      <c r="K374" s="68"/>
      <c r="M374" s="68"/>
      <c r="N374" s="68"/>
      <c r="O374" s="68"/>
      <c r="P374" s="68"/>
    </row>
    <row r="375">
      <c r="K375" s="68"/>
      <c r="M375" s="68"/>
      <c r="N375" s="68"/>
      <c r="O375" s="68"/>
      <c r="P375" s="68"/>
    </row>
    <row r="376">
      <c r="K376" s="68"/>
      <c r="M376" s="68"/>
      <c r="N376" s="68"/>
      <c r="O376" s="68"/>
      <c r="P376" s="68"/>
    </row>
    <row r="377">
      <c r="K377" s="68"/>
      <c r="M377" s="68"/>
      <c r="N377" s="68"/>
      <c r="O377" s="68"/>
      <c r="P377" s="68"/>
    </row>
    <row r="378">
      <c r="K378" s="68"/>
      <c r="M378" s="68"/>
      <c r="N378" s="68"/>
      <c r="O378" s="68"/>
      <c r="P378" s="68"/>
    </row>
    <row r="379">
      <c r="K379" s="68"/>
      <c r="M379" s="68"/>
      <c r="N379" s="68"/>
      <c r="O379" s="68"/>
      <c r="P379" s="68"/>
    </row>
    <row r="380">
      <c r="K380" s="68"/>
      <c r="M380" s="68"/>
      <c r="N380" s="68"/>
      <c r="O380" s="68"/>
      <c r="P380" s="68"/>
    </row>
    <row r="381">
      <c r="K381" s="68"/>
      <c r="M381" s="68"/>
      <c r="N381" s="68"/>
      <c r="O381" s="68"/>
      <c r="P381" s="68"/>
    </row>
    <row r="382">
      <c r="K382" s="68"/>
      <c r="M382" s="68"/>
      <c r="N382" s="68"/>
      <c r="O382" s="68"/>
      <c r="P382" s="68"/>
    </row>
    <row r="383">
      <c r="K383" s="68"/>
      <c r="M383" s="68"/>
      <c r="N383" s="68"/>
      <c r="O383" s="68"/>
      <c r="P383" s="68"/>
    </row>
    <row r="384">
      <c r="K384" s="68"/>
      <c r="M384" s="68"/>
      <c r="N384" s="68"/>
      <c r="O384" s="68"/>
      <c r="P384" s="68"/>
    </row>
    <row r="385">
      <c r="K385" s="68"/>
      <c r="M385" s="68"/>
      <c r="N385" s="68"/>
      <c r="O385" s="68"/>
      <c r="P385" s="68"/>
    </row>
    <row r="386">
      <c r="K386" s="68"/>
      <c r="M386" s="68"/>
      <c r="N386" s="68"/>
      <c r="O386" s="68"/>
      <c r="P386" s="68"/>
    </row>
    <row r="387">
      <c r="K387" s="68"/>
      <c r="M387" s="68"/>
      <c r="N387" s="68"/>
      <c r="O387" s="68"/>
      <c r="P387" s="68"/>
    </row>
    <row r="388">
      <c r="K388" s="68"/>
      <c r="M388" s="68"/>
      <c r="N388" s="68"/>
      <c r="O388" s="68"/>
      <c r="P388" s="68"/>
    </row>
    <row r="389">
      <c r="K389" s="68"/>
      <c r="M389" s="68"/>
      <c r="N389" s="68"/>
      <c r="O389" s="68"/>
      <c r="P389" s="68"/>
    </row>
    <row r="390">
      <c r="K390" s="68"/>
      <c r="M390" s="68"/>
      <c r="N390" s="68"/>
      <c r="O390" s="68"/>
      <c r="P390" s="68"/>
    </row>
    <row r="391">
      <c r="K391" s="68"/>
      <c r="M391" s="68"/>
      <c r="N391" s="68"/>
      <c r="O391" s="68"/>
      <c r="P391" s="68"/>
    </row>
    <row r="392">
      <c r="K392" s="68"/>
      <c r="M392" s="68"/>
      <c r="N392" s="68"/>
      <c r="O392" s="68"/>
      <c r="P392" s="68"/>
    </row>
    <row r="393">
      <c r="K393" s="68"/>
      <c r="M393" s="68"/>
      <c r="N393" s="68"/>
      <c r="O393" s="68"/>
      <c r="P393" s="68"/>
    </row>
    <row r="394">
      <c r="K394" s="68"/>
      <c r="M394" s="68"/>
      <c r="N394" s="68"/>
      <c r="O394" s="68"/>
      <c r="P394" s="68"/>
    </row>
    <row r="395">
      <c r="K395" s="68"/>
      <c r="M395" s="68"/>
      <c r="N395" s="68"/>
      <c r="O395" s="68"/>
      <c r="P395" s="68"/>
    </row>
    <row r="396">
      <c r="K396" s="68"/>
      <c r="M396" s="68"/>
      <c r="N396" s="68"/>
      <c r="O396" s="68"/>
      <c r="P396" s="68"/>
    </row>
    <row r="397">
      <c r="K397" s="68"/>
      <c r="M397" s="68"/>
      <c r="N397" s="68"/>
      <c r="O397" s="68"/>
      <c r="P397" s="68"/>
    </row>
    <row r="398">
      <c r="K398" s="68"/>
      <c r="M398" s="68"/>
      <c r="N398" s="68"/>
      <c r="O398" s="68"/>
      <c r="P398" s="68"/>
    </row>
    <row r="399">
      <c r="K399" s="68"/>
      <c r="M399" s="68"/>
      <c r="N399" s="68"/>
      <c r="O399" s="68"/>
      <c r="P399" s="68"/>
    </row>
    <row r="400">
      <c r="K400" s="68"/>
      <c r="M400" s="68"/>
      <c r="N400" s="68"/>
      <c r="O400" s="68"/>
      <c r="P400" s="68"/>
    </row>
    <row r="401">
      <c r="K401" s="68"/>
      <c r="M401" s="68"/>
      <c r="N401" s="68"/>
      <c r="O401" s="68"/>
      <c r="P401" s="68"/>
    </row>
    <row r="402">
      <c r="K402" s="68"/>
      <c r="M402" s="68"/>
      <c r="N402" s="68"/>
      <c r="O402" s="68"/>
      <c r="P402" s="68"/>
    </row>
    <row r="403">
      <c r="K403" s="68"/>
      <c r="M403" s="68"/>
      <c r="N403" s="68"/>
      <c r="O403" s="68"/>
      <c r="P403" s="68"/>
    </row>
    <row r="404">
      <c r="K404" s="68"/>
      <c r="M404" s="68"/>
      <c r="N404" s="68"/>
      <c r="O404" s="68"/>
      <c r="P404" s="68"/>
    </row>
    <row r="405">
      <c r="K405" s="68"/>
      <c r="M405" s="68"/>
      <c r="N405" s="68"/>
      <c r="O405" s="68"/>
      <c r="P405" s="68"/>
    </row>
    <row r="406">
      <c r="K406" s="68"/>
      <c r="M406" s="68"/>
      <c r="N406" s="68"/>
      <c r="O406" s="68"/>
      <c r="P406" s="68"/>
    </row>
    <row r="407">
      <c r="K407" s="68"/>
      <c r="M407" s="68"/>
      <c r="N407" s="68"/>
      <c r="O407" s="68"/>
      <c r="P407" s="68"/>
    </row>
    <row r="408">
      <c r="K408" s="68"/>
      <c r="M408" s="68"/>
      <c r="N408" s="68"/>
      <c r="O408" s="68"/>
      <c r="P408" s="68"/>
    </row>
    <row r="409">
      <c r="K409" s="68"/>
      <c r="M409" s="68"/>
      <c r="N409" s="68"/>
      <c r="O409" s="68"/>
      <c r="P409" s="68"/>
    </row>
    <row r="410">
      <c r="K410" s="68"/>
      <c r="M410" s="68"/>
      <c r="N410" s="68"/>
      <c r="O410" s="68"/>
      <c r="P410" s="68"/>
    </row>
    <row r="411">
      <c r="K411" s="68"/>
      <c r="M411" s="68"/>
      <c r="N411" s="68"/>
      <c r="O411" s="68"/>
      <c r="P411" s="68"/>
    </row>
    <row r="412">
      <c r="K412" s="68"/>
      <c r="M412" s="68"/>
      <c r="N412" s="68"/>
      <c r="O412" s="68"/>
      <c r="P412" s="68"/>
    </row>
    <row r="413">
      <c r="K413" s="68"/>
      <c r="M413" s="68"/>
      <c r="N413" s="68"/>
      <c r="O413" s="68"/>
      <c r="P413" s="68"/>
    </row>
    <row r="414">
      <c r="K414" s="68"/>
      <c r="M414" s="68"/>
      <c r="N414" s="68"/>
      <c r="O414" s="68"/>
      <c r="P414" s="68"/>
    </row>
    <row r="415">
      <c r="K415" s="68"/>
      <c r="M415" s="68"/>
      <c r="N415" s="68"/>
      <c r="O415" s="68"/>
      <c r="P415" s="68"/>
    </row>
    <row r="416">
      <c r="K416" s="68"/>
      <c r="M416" s="68"/>
      <c r="N416" s="68"/>
      <c r="O416" s="68"/>
      <c r="P416" s="68"/>
    </row>
    <row r="417">
      <c r="K417" s="68"/>
      <c r="M417" s="68"/>
      <c r="N417" s="68"/>
      <c r="O417" s="68"/>
      <c r="P417" s="68"/>
    </row>
    <row r="418">
      <c r="K418" s="68"/>
      <c r="M418" s="68"/>
      <c r="N418" s="68"/>
      <c r="O418" s="68"/>
      <c r="P418" s="68"/>
    </row>
    <row r="419">
      <c r="K419" s="68"/>
      <c r="M419" s="68"/>
      <c r="N419" s="68"/>
      <c r="O419" s="68"/>
      <c r="P419" s="68"/>
    </row>
    <row r="420">
      <c r="K420" s="68"/>
      <c r="M420" s="68"/>
      <c r="N420" s="68"/>
      <c r="O420" s="68"/>
      <c r="P420" s="68"/>
    </row>
    <row r="421">
      <c r="K421" s="68"/>
      <c r="M421" s="68"/>
      <c r="N421" s="68"/>
      <c r="O421" s="68"/>
      <c r="P421" s="68"/>
    </row>
    <row r="422">
      <c r="K422" s="68"/>
      <c r="M422" s="68"/>
      <c r="N422" s="68"/>
      <c r="O422" s="68"/>
      <c r="P422" s="68"/>
    </row>
    <row r="423">
      <c r="K423" s="68"/>
      <c r="M423" s="68"/>
      <c r="N423" s="68"/>
      <c r="O423" s="68"/>
      <c r="P423" s="68"/>
    </row>
    <row r="424">
      <c r="K424" s="68"/>
      <c r="M424" s="68"/>
      <c r="N424" s="68"/>
      <c r="O424" s="68"/>
      <c r="P424" s="68"/>
    </row>
    <row r="425">
      <c r="K425" s="68"/>
      <c r="M425" s="68"/>
      <c r="N425" s="68"/>
      <c r="O425" s="68"/>
      <c r="P425" s="68"/>
    </row>
    <row r="426">
      <c r="K426" s="68"/>
      <c r="M426" s="68"/>
      <c r="N426" s="68"/>
      <c r="O426" s="68"/>
      <c r="P426" s="68"/>
    </row>
    <row r="427">
      <c r="K427" s="68"/>
      <c r="M427" s="68"/>
      <c r="N427" s="68"/>
      <c r="O427" s="68"/>
      <c r="P427" s="68"/>
    </row>
    <row r="428">
      <c r="K428" s="68"/>
      <c r="M428" s="68"/>
      <c r="N428" s="68"/>
      <c r="O428" s="68"/>
      <c r="P428" s="68"/>
    </row>
    <row r="429">
      <c r="K429" s="68"/>
      <c r="M429" s="68"/>
      <c r="N429" s="68"/>
      <c r="O429" s="68"/>
      <c r="P429" s="68"/>
    </row>
    <row r="430">
      <c r="K430" s="68"/>
      <c r="M430" s="68"/>
      <c r="N430" s="68"/>
      <c r="O430" s="68"/>
      <c r="P430" s="68"/>
    </row>
    <row r="431">
      <c r="K431" s="68"/>
      <c r="M431" s="68"/>
      <c r="N431" s="68"/>
      <c r="O431" s="68"/>
      <c r="P431" s="68"/>
    </row>
    <row r="432">
      <c r="K432" s="68"/>
      <c r="M432" s="68"/>
      <c r="N432" s="68"/>
      <c r="O432" s="68"/>
      <c r="P432" s="68"/>
    </row>
    <row r="433">
      <c r="K433" s="68"/>
      <c r="M433" s="68"/>
      <c r="N433" s="68"/>
      <c r="O433" s="68"/>
      <c r="P433" s="68"/>
    </row>
    <row r="434">
      <c r="K434" s="68"/>
      <c r="M434" s="68"/>
      <c r="N434" s="68"/>
      <c r="O434" s="68"/>
      <c r="P434" s="68"/>
    </row>
    <row r="435">
      <c r="K435" s="68"/>
      <c r="M435" s="68"/>
      <c r="N435" s="68"/>
      <c r="O435" s="68"/>
      <c r="P435" s="68"/>
    </row>
    <row r="436">
      <c r="K436" s="68"/>
      <c r="M436" s="68"/>
      <c r="N436" s="68"/>
      <c r="O436" s="68"/>
      <c r="P436" s="68"/>
    </row>
    <row r="437">
      <c r="K437" s="68"/>
      <c r="M437" s="68"/>
      <c r="N437" s="68"/>
      <c r="O437" s="68"/>
      <c r="P437" s="68"/>
    </row>
    <row r="438">
      <c r="K438" s="68"/>
      <c r="M438" s="68"/>
      <c r="N438" s="68"/>
      <c r="O438" s="68"/>
      <c r="P438" s="68"/>
    </row>
    <row r="439">
      <c r="K439" s="68"/>
      <c r="M439" s="68"/>
      <c r="N439" s="68"/>
      <c r="O439" s="68"/>
      <c r="P439" s="68"/>
    </row>
    <row r="440">
      <c r="K440" s="68"/>
      <c r="M440" s="68"/>
      <c r="N440" s="68"/>
      <c r="O440" s="68"/>
      <c r="P440" s="68"/>
    </row>
    <row r="441">
      <c r="K441" s="68"/>
      <c r="M441" s="68"/>
      <c r="N441" s="68"/>
      <c r="O441" s="68"/>
      <c r="P441" s="68"/>
    </row>
    <row r="442">
      <c r="K442" s="68"/>
      <c r="M442" s="68"/>
      <c r="N442" s="68"/>
      <c r="O442" s="68"/>
      <c r="P442" s="68"/>
    </row>
    <row r="443">
      <c r="K443" s="68"/>
      <c r="M443" s="68"/>
      <c r="N443" s="68"/>
      <c r="O443" s="68"/>
      <c r="P443" s="68"/>
    </row>
    <row r="444">
      <c r="K444" s="68"/>
      <c r="M444" s="68"/>
      <c r="N444" s="68"/>
      <c r="O444" s="68"/>
      <c r="P444" s="68"/>
    </row>
    <row r="445">
      <c r="K445" s="68"/>
      <c r="M445" s="68"/>
      <c r="N445" s="68"/>
      <c r="O445" s="68"/>
      <c r="P445" s="68"/>
    </row>
    <row r="446">
      <c r="K446" s="68"/>
      <c r="M446" s="68"/>
      <c r="N446" s="68"/>
      <c r="O446" s="68"/>
      <c r="P446" s="68"/>
    </row>
    <row r="447">
      <c r="K447" s="68"/>
      <c r="M447" s="68"/>
      <c r="N447" s="68"/>
      <c r="O447" s="68"/>
      <c r="P447" s="68"/>
    </row>
    <row r="448">
      <c r="K448" s="68"/>
      <c r="M448" s="68"/>
      <c r="N448" s="68"/>
      <c r="O448" s="68"/>
      <c r="P448" s="68"/>
    </row>
    <row r="449">
      <c r="K449" s="68"/>
      <c r="M449" s="68"/>
      <c r="N449" s="68"/>
      <c r="O449" s="68"/>
      <c r="P449" s="68"/>
    </row>
    <row r="450">
      <c r="K450" s="68"/>
      <c r="M450" s="68"/>
      <c r="N450" s="68"/>
      <c r="O450" s="68"/>
      <c r="P450" s="68"/>
    </row>
    <row r="451">
      <c r="K451" s="68"/>
      <c r="M451" s="68"/>
      <c r="N451" s="68"/>
      <c r="O451" s="68"/>
      <c r="P451" s="68"/>
    </row>
    <row r="452">
      <c r="K452" s="68"/>
      <c r="M452" s="68"/>
      <c r="N452" s="68"/>
      <c r="O452" s="68"/>
      <c r="P452" s="68"/>
    </row>
    <row r="453">
      <c r="K453" s="68"/>
      <c r="M453" s="68"/>
      <c r="N453" s="68"/>
      <c r="O453" s="68"/>
      <c r="P453" s="68"/>
    </row>
    <row r="454">
      <c r="K454" s="68"/>
      <c r="M454" s="68"/>
      <c r="N454" s="68"/>
      <c r="O454" s="68"/>
      <c r="P454" s="68"/>
    </row>
    <row r="455">
      <c r="K455" s="68"/>
      <c r="M455" s="68"/>
      <c r="N455" s="68"/>
      <c r="O455" s="68"/>
      <c r="P455" s="68"/>
    </row>
    <row r="456">
      <c r="K456" s="68"/>
      <c r="M456" s="68"/>
      <c r="N456" s="68"/>
      <c r="O456" s="68"/>
      <c r="P456" s="68"/>
    </row>
    <row r="457">
      <c r="K457" s="68"/>
      <c r="M457" s="68"/>
      <c r="N457" s="68"/>
      <c r="O457" s="68"/>
      <c r="P457" s="68"/>
    </row>
    <row r="458">
      <c r="K458" s="68"/>
      <c r="M458" s="68"/>
      <c r="N458" s="68"/>
      <c r="O458" s="68"/>
      <c r="P458" s="68"/>
    </row>
    <row r="459">
      <c r="K459" s="68"/>
      <c r="M459" s="68"/>
      <c r="N459" s="68"/>
      <c r="O459" s="68"/>
      <c r="P459" s="68"/>
    </row>
    <row r="460">
      <c r="K460" s="68"/>
      <c r="M460" s="68"/>
      <c r="N460" s="68"/>
      <c r="O460" s="68"/>
      <c r="P460" s="68"/>
    </row>
    <row r="461">
      <c r="K461" s="68"/>
      <c r="M461" s="68"/>
      <c r="N461" s="68"/>
      <c r="O461" s="68"/>
      <c r="P461" s="68"/>
    </row>
    <row r="462">
      <c r="K462" s="68"/>
      <c r="M462" s="68"/>
      <c r="N462" s="68"/>
      <c r="O462" s="68"/>
      <c r="P462" s="68"/>
    </row>
    <row r="463">
      <c r="K463" s="68"/>
      <c r="M463" s="68"/>
      <c r="N463" s="68"/>
      <c r="O463" s="68"/>
      <c r="P463" s="68"/>
    </row>
    <row r="464">
      <c r="K464" s="68"/>
      <c r="M464" s="68"/>
      <c r="N464" s="68"/>
      <c r="O464" s="68"/>
      <c r="P464" s="68"/>
    </row>
    <row r="465">
      <c r="K465" s="68"/>
      <c r="M465" s="68"/>
      <c r="N465" s="68"/>
      <c r="O465" s="68"/>
      <c r="P465" s="68"/>
    </row>
    <row r="466">
      <c r="K466" s="68"/>
      <c r="M466" s="68"/>
      <c r="N466" s="68"/>
      <c r="O466" s="68"/>
      <c r="P466" s="68"/>
    </row>
    <row r="467">
      <c r="K467" s="68"/>
      <c r="M467" s="68"/>
      <c r="N467" s="68"/>
      <c r="O467" s="68"/>
      <c r="P467" s="68"/>
    </row>
    <row r="468">
      <c r="K468" s="68"/>
      <c r="M468" s="68"/>
      <c r="N468" s="68"/>
      <c r="O468" s="68"/>
      <c r="P468" s="68"/>
    </row>
    <row r="469">
      <c r="K469" s="68"/>
      <c r="M469" s="68"/>
      <c r="N469" s="68"/>
      <c r="O469" s="68"/>
      <c r="P469" s="68"/>
    </row>
    <row r="470">
      <c r="K470" s="68"/>
      <c r="M470" s="68"/>
      <c r="N470" s="68"/>
      <c r="O470" s="68"/>
      <c r="P470" s="68"/>
    </row>
    <row r="471">
      <c r="K471" s="68"/>
      <c r="M471" s="68"/>
      <c r="N471" s="68"/>
      <c r="O471" s="68"/>
      <c r="P471" s="68"/>
    </row>
    <row r="472">
      <c r="K472" s="68"/>
      <c r="M472" s="68"/>
      <c r="N472" s="68"/>
      <c r="O472" s="68"/>
      <c r="P472" s="68"/>
    </row>
    <row r="473">
      <c r="K473" s="68"/>
      <c r="M473" s="68"/>
      <c r="N473" s="68"/>
      <c r="O473" s="68"/>
      <c r="P473" s="68"/>
    </row>
    <row r="474">
      <c r="K474" s="68"/>
      <c r="M474" s="68"/>
      <c r="N474" s="68"/>
      <c r="O474" s="68"/>
      <c r="P474" s="68"/>
    </row>
    <row r="475">
      <c r="K475" s="68"/>
      <c r="M475" s="68"/>
      <c r="N475" s="68"/>
      <c r="O475" s="68"/>
      <c r="P475" s="68"/>
    </row>
    <row r="476">
      <c r="K476" s="68"/>
      <c r="M476" s="68"/>
      <c r="N476" s="68"/>
      <c r="O476" s="68"/>
      <c r="P476" s="68"/>
    </row>
    <row r="477">
      <c r="K477" s="68"/>
      <c r="M477" s="68"/>
      <c r="N477" s="68"/>
      <c r="O477" s="68"/>
      <c r="P477" s="68"/>
    </row>
    <row r="478">
      <c r="K478" s="68"/>
      <c r="M478" s="68"/>
      <c r="N478" s="68"/>
      <c r="O478" s="68"/>
      <c r="P478" s="68"/>
    </row>
    <row r="479">
      <c r="K479" s="68"/>
      <c r="M479" s="68"/>
      <c r="N479" s="68"/>
      <c r="O479" s="68"/>
      <c r="P479" s="68"/>
    </row>
    <row r="480">
      <c r="K480" s="68"/>
      <c r="M480" s="68"/>
      <c r="N480" s="68"/>
      <c r="O480" s="68"/>
      <c r="P480" s="68"/>
    </row>
    <row r="481">
      <c r="K481" s="68"/>
      <c r="M481" s="68"/>
      <c r="N481" s="68"/>
      <c r="O481" s="68"/>
      <c r="P481" s="68"/>
    </row>
    <row r="482">
      <c r="K482" s="68"/>
      <c r="M482" s="68"/>
      <c r="N482" s="68"/>
      <c r="O482" s="68"/>
      <c r="P482" s="68"/>
    </row>
    <row r="483">
      <c r="K483" s="68"/>
      <c r="M483" s="68"/>
      <c r="N483" s="68"/>
      <c r="O483" s="68"/>
      <c r="P483" s="68"/>
    </row>
    <row r="484">
      <c r="K484" s="68"/>
      <c r="M484" s="68"/>
      <c r="N484" s="68"/>
      <c r="O484" s="68"/>
      <c r="P484" s="68"/>
    </row>
    <row r="485">
      <c r="K485" s="68"/>
      <c r="M485" s="68"/>
      <c r="N485" s="68"/>
      <c r="O485" s="68"/>
      <c r="P485" s="68"/>
    </row>
    <row r="486">
      <c r="K486" s="68"/>
      <c r="M486" s="68"/>
      <c r="N486" s="68"/>
      <c r="O486" s="68"/>
      <c r="P486" s="68"/>
    </row>
    <row r="487">
      <c r="K487" s="68"/>
      <c r="M487" s="68"/>
      <c r="N487" s="68"/>
      <c r="O487" s="68"/>
      <c r="P487" s="68"/>
    </row>
    <row r="488">
      <c r="K488" s="68"/>
      <c r="M488" s="68"/>
      <c r="N488" s="68"/>
      <c r="O488" s="68"/>
      <c r="P488" s="68"/>
    </row>
    <row r="489">
      <c r="K489" s="68"/>
      <c r="M489" s="68"/>
      <c r="N489" s="68"/>
      <c r="O489" s="68"/>
      <c r="P489" s="68"/>
    </row>
    <row r="490">
      <c r="K490" s="68"/>
      <c r="M490" s="68"/>
      <c r="N490" s="68"/>
      <c r="O490" s="68"/>
      <c r="P490" s="68"/>
    </row>
    <row r="491">
      <c r="K491" s="68"/>
      <c r="M491" s="68"/>
      <c r="N491" s="68"/>
      <c r="O491" s="68"/>
      <c r="P491" s="68"/>
    </row>
    <row r="492">
      <c r="K492" s="68"/>
      <c r="M492" s="68"/>
      <c r="N492" s="68"/>
      <c r="O492" s="68"/>
      <c r="P492" s="68"/>
    </row>
    <row r="493">
      <c r="K493" s="68"/>
      <c r="M493" s="68"/>
      <c r="N493" s="68"/>
      <c r="O493" s="68"/>
      <c r="P493" s="68"/>
    </row>
    <row r="494">
      <c r="K494" s="68"/>
      <c r="M494" s="68"/>
      <c r="N494" s="68"/>
      <c r="O494" s="68"/>
      <c r="P494" s="68"/>
    </row>
    <row r="495">
      <c r="K495" s="68"/>
      <c r="M495" s="68"/>
      <c r="N495" s="68"/>
      <c r="O495" s="68"/>
      <c r="P495" s="68"/>
    </row>
    <row r="496">
      <c r="K496" s="68"/>
      <c r="M496" s="68"/>
      <c r="N496" s="68"/>
      <c r="O496" s="68"/>
      <c r="P496" s="68"/>
    </row>
    <row r="497">
      <c r="K497" s="68"/>
      <c r="M497" s="68"/>
      <c r="N497" s="68"/>
      <c r="O497" s="68"/>
      <c r="P497" s="68"/>
    </row>
    <row r="498">
      <c r="K498" s="68"/>
      <c r="M498" s="68"/>
      <c r="N498" s="68"/>
      <c r="O498" s="68"/>
      <c r="P498" s="68"/>
    </row>
    <row r="499">
      <c r="K499" s="68"/>
      <c r="M499" s="68"/>
      <c r="N499" s="68"/>
      <c r="O499" s="68"/>
      <c r="P499" s="68"/>
    </row>
    <row r="500">
      <c r="K500" s="68"/>
      <c r="M500" s="68"/>
      <c r="N500" s="68"/>
      <c r="O500" s="68"/>
      <c r="P500" s="68"/>
    </row>
    <row r="501">
      <c r="K501" s="68"/>
      <c r="M501" s="68"/>
      <c r="N501" s="68"/>
      <c r="O501" s="68"/>
      <c r="P501" s="68"/>
    </row>
    <row r="502">
      <c r="K502" s="68"/>
      <c r="M502" s="68"/>
      <c r="N502" s="68"/>
      <c r="O502" s="68"/>
      <c r="P502" s="68"/>
    </row>
    <row r="503">
      <c r="K503" s="68"/>
      <c r="M503" s="68"/>
      <c r="N503" s="68"/>
      <c r="O503" s="68"/>
      <c r="P503" s="68"/>
    </row>
    <row r="504">
      <c r="K504" s="68"/>
      <c r="M504" s="68"/>
      <c r="N504" s="68"/>
      <c r="O504" s="68"/>
      <c r="P504" s="68"/>
    </row>
    <row r="505">
      <c r="K505" s="68"/>
      <c r="M505" s="68"/>
      <c r="N505" s="68"/>
      <c r="O505" s="68"/>
      <c r="P505" s="68"/>
    </row>
    <row r="506">
      <c r="K506" s="68"/>
      <c r="M506" s="68"/>
      <c r="N506" s="68"/>
      <c r="O506" s="68"/>
      <c r="P506" s="68"/>
    </row>
    <row r="507">
      <c r="K507" s="68"/>
      <c r="M507" s="68"/>
      <c r="N507" s="68"/>
      <c r="O507" s="68"/>
      <c r="P507" s="68"/>
    </row>
    <row r="508">
      <c r="K508" s="68"/>
      <c r="M508" s="68"/>
      <c r="N508" s="68"/>
      <c r="O508" s="68"/>
      <c r="P508" s="68"/>
    </row>
    <row r="509">
      <c r="K509" s="68"/>
      <c r="M509" s="68"/>
      <c r="N509" s="68"/>
      <c r="O509" s="68"/>
      <c r="P509" s="68"/>
    </row>
    <row r="510">
      <c r="K510" s="68"/>
      <c r="M510" s="68"/>
      <c r="N510" s="68"/>
      <c r="O510" s="68"/>
      <c r="P510" s="68"/>
    </row>
    <row r="511">
      <c r="K511" s="68"/>
      <c r="M511" s="68"/>
      <c r="N511" s="68"/>
      <c r="O511" s="68"/>
      <c r="P511" s="68"/>
    </row>
    <row r="512">
      <c r="K512" s="68"/>
      <c r="M512" s="68"/>
      <c r="N512" s="68"/>
      <c r="O512" s="68"/>
      <c r="P512" s="68"/>
    </row>
    <row r="513">
      <c r="K513" s="68"/>
      <c r="M513" s="68"/>
      <c r="N513" s="68"/>
      <c r="O513" s="68"/>
      <c r="P513" s="68"/>
    </row>
    <row r="514">
      <c r="K514" s="68"/>
      <c r="M514" s="68"/>
      <c r="N514" s="68"/>
      <c r="O514" s="68"/>
      <c r="P514" s="68"/>
    </row>
    <row r="515">
      <c r="K515" s="68"/>
      <c r="M515" s="68"/>
      <c r="N515" s="68"/>
      <c r="O515" s="68"/>
      <c r="P515" s="68"/>
    </row>
    <row r="516">
      <c r="K516" s="68"/>
      <c r="M516" s="68"/>
      <c r="N516" s="68"/>
      <c r="O516" s="68"/>
      <c r="P516" s="68"/>
    </row>
    <row r="517">
      <c r="K517" s="68"/>
      <c r="M517" s="68"/>
      <c r="N517" s="68"/>
      <c r="O517" s="68"/>
      <c r="P517" s="68"/>
    </row>
    <row r="518">
      <c r="K518" s="68"/>
      <c r="M518" s="68"/>
      <c r="N518" s="68"/>
      <c r="O518" s="68"/>
      <c r="P518" s="68"/>
    </row>
    <row r="519">
      <c r="K519" s="68"/>
      <c r="M519" s="68"/>
      <c r="N519" s="68"/>
      <c r="O519" s="68"/>
      <c r="P519" s="68"/>
    </row>
    <row r="520">
      <c r="K520" s="68"/>
      <c r="M520" s="68"/>
      <c r="N520" s="68"/>
      <c r="O520" s="68"/>
      <c r="P520" s="68"/>
    </row>
    <row r="521">
      <c r="K521" s="68"/>
      <c r="M521" s="68"/>
      <c r="N521" s="68"/>
      <c r="O521" s="68"/>
      <c r="P521" s="68"/>
    </row>
    <row r="522">
      <c r="K522" s="68"/>
      <c r="M522" s="68"/>
      <c r="N522" s="68"/>
      <c r="O522" s="68"/>
      <c r="P522" s="68"/>
    </row>
    <row r="523">
      <c r="K523" s="68"/>
      <c r="M523" s="68"/>
      <c r="N523" s="68"/>
      <c r="O523" s="68"/>
      <c r="P523" s="68"/>
    </row>
    <row r="524">
      <c r="K524" s="68"/>
      <c r="M524" s="68"/>
      <c r="N524" s="68"/>
      <c r="O524" s="68"/>
      <c r="P524" s="68"/>
    </row>
    <row r="525">
      <c r="K525" s="68"/>
      <c r="M525" s="68"/>
      <c r="N525" s="68"/>
      <c r="O525" s="68"/>
      <c r="P525" s="68"/>
    </row>
    <row r="526">
      <c r="K526" s="68"/>
      <c r="M526" s="68"/>
      <c r="N526" s="68"/>
      <c r="O526" s="68"/>
      <c r="P526" s="68"/>
    </row>
    <row r="527">
      <c r="K527" s="68"/>
      <c r="M527" s="68"/>
      <c r="N527" s="68"/>
      <c r="O527" s="68"/>
      <c r="P527" s="68"/>
    </row>
    <row r="528">
      <c r="K528" s="68"/>
      <c r="M528" s="68"/>
      <c r="N528" s="68"/>
      <c r="O528" s="68"/>
      <c r="P528" s="68"/>
    </row>
    <row r="529">
      <c r="K529" s="68"/>
      <c r="M529" s="68"/>
      <c r="N529" s="68"/>
      <c r="O529" s="68"/>
      <c r="P529" s="68"/>
    </row>
    <row r="530">
      <c r="K530" s="68"/>
      <c r="M530" s="68"/>
      <c r="N530" s="68"/>
      <c r="O530" s="68"/>
      <c r="P530" s="68"/>
    </row>
    <row r="531">
      <c r="K531" s="68"/>
      <c r="M531" s="68"/>
      <c r="N531" s="68"/>
      <c r="O531" s="68"/>
      <c r="P531" s="68"/>
    </row>
    <row r="532">
      <c r="K532" s="68"/>
      <c r="M532" s="68"/>
      <c r="N532" s="68"/>
      <c r="O532" s="68"/>
      <c r="P532" s="68"/>
    </row>
    <row r="533">
      <c r="K533" s="68"/>
      <c r="M533" s="68"/>
      <c r="N533" s="68"/>
      <c r="O533" s="68"/>
      <c r="P533" s="68"/>
    </row>
    <row r="534">
      <c r="K534" s="68"/>
      <c r="M534" s="68"/>
      <c r="N534" s="68"/>
      <c r="O534" s="68"/>
      <c r="P534" s="68"/>
    </row>
    <row r="535">
      <c r="K535" s="68"/>
      <c r="M535" s="68"/>
      <c r="N535" s="68"/>
      <c r="O535" s="68"/>
      <c r="P535" s="68"/>
    </row>
    <row r="536">
      <c r="K536" s="68"/>
      <c r="M536" s="68"/>
      <c r="N536" s="68"/>
      <c r="O536" s="68"/>
      <c r="P536" s="68"/>
    </row>
    <row r="537">
      <c r="K537" s="68"/>
      <c r="M537" s="68"/>
      <c r="N537" s="68"/>
      <c r="O537" s="68"/>
      <c r="P537" s="68"/>
    </row>
    <row r="538">
      <c r="K538" s="68"/>
      <c r="M538" s="68"/>
      <c r="N538" s="68"/>
      <c r="O538" s="68"/>
      <c r="P538" s="68"/>
    </row>
    <row r="539">
      <c r="K539" s="68"/>
      <c r="M539" s="68"/>
      <c r="N539" s="68"/>
      <c r="O539" s="68"/>
      <c r="P539" s="68"/>
    </row>
    <row r="540">
      <c r="K540" s="68"/>
      <c r="M540" s="68"/>
      <c r="N540" s="68"/>
      <c r="O540" s="68"/>
      <c r="P540" s="68"/>
    </row>
    <row r="541">
      <c r="K541" s="68"/>
      <c r="M541" s="68"/>
      <c r="N541" s="68"/>
      <c r="O541" s="68"/>
      <c r="P541" s="68"/>
    </row>
    <row r="542">
      <c r="K542" s="68"/>
      <c r="M542" s="68"/>
      <c r="N542" s="68"/>
      <c r="O542" s="68"/>
      <c r="P542" s="68"/>
    </row>
    <row r="543">
      <c r="K543" s="68"/>
      <c r="M543" s="68"/>
      <c r="N543" s="68"/>
      <c r="O543" s="68"/>
      <c r="P543" s="68"/>
    </row>
    <row r="544">
      <c r="K544" s="68"/>
      <c r="M544" s="68"/>
      <c r="N544" s="68"/>
      <c r="O544" s="68"/>
      <c r="P544" s="68"/>
    </row>
    <row r="545">
      <c r="K545" s="68"/>
      <c r="M545" s="68"/>
      <c r="N545" s="68"/>
      <c r="O545" s="68"/>
      <c r="P545" s="68"/>
    </row>
    <row r="546">
      <c r="K546" s="68"/>
      <c r="M546" s="68"/>
      <c r="N546" s="68"/>
      <c r="O546" s="68"/>
      <c r="P546" s="68"/>
    </row>
    <row r="547">
      <c r="K547" s="68"/>
      <c r="M547" s="68"/>
      <c r="N547" s="68"/>
      <c r="O547" s="68"/>
      <c r="P547" s="68"/>
    </row>
    <row r="548">
      <c r="K548" s="68"/>
      <c r="M548" s="68"/>
      <c r="N548" s="68"/>
      <c r="O548" s="68"/>
      <c r="P548" s="68"/>
    </row>
    <row r="549">
      <c r="K549" s="68"/>
      <c r="M549" s="68"/>
      <c r="N549" s="68"/>
      <c r="O549" s="68"/>
      <c r="P549" s="68"/>
    </row>
    <row r="550">
      <c r="K550" s="68"/>
      <c r="M550" s="68"/>
      <c r="N550" s="68"/>
      <c r="O550" s="68"/>
      <c r="P550" s="68"/>
    </row>
    <row r="551">
      <c r="K551" s="68"/>
      <c r="M551" s="68"/>
      <c r="N551" s="68"/>
      <c r="O551" s="68"/>
      <c r="P551" s="68"/>
    </row>
    <row r="552">
      <c r="K552" s="68"/>
      <c r="M552" s="68"/>
      <c r="N552" s="68"/>
      <c r="O552" s="68"/>
      <c r="P552" s="68"/>
    </row>
    <row r="553">
      <c r="K553" s="68"/>
      <c r="M553" s="68"/>
      <c r="N553" s="68"/>
      <c r="O553" s="68"/>
      <c r="P553" s="68"/>
    </row>
    <row r="554">
      <c r="K554" s="68"/>
      <c r="M554" s="68"/>
      <c r="N554" s="68"/>
      <c r="O554" s="68"/>
      <c r="P554" s="68"/>
    </row>
    <row r="555">
      <c r="K555" s="68"/>
      <c r="M555" s="68"/>
      <c r="N555" s="68"/>
      <c r="O555" s="68"/>
      <c r="P555" s="68"/>
    </row>
    <row r="556">
      <c r="K556" s="68"/>
      <c r="M556" s="68"/>
      <c r="N556" s="68"/>
      <c r="O556" s="68"/>
      <c r="P556" s="68"/>
    </row>
    <row r="557">
      <c r="K557" s="68"/>
      <c r="M557" s="68"/>
      <c r="N557" s="68"/>
      <c r="O557" s="68"/>
      <c r="P557" s="68"/>
    </row>
    <row r="558">
      <c r="K558" s="68"/>
      <c r="M558" s="68"/>
      <c r="N558" s="68"/>
      <c r="O558" s="68"/>
      <c r="P558" s="68"/>
    </row>
    <row r="559">
      <c r="K559" s="68"/>
      <c r="M559" s="68"/>
      <c r="N559" s="68"/>
      <c r="O559" s="68"/>
      <c r="P559" s="68"/>
    </row>
    <row r="560">
      <c r="K560" s="68"/>
      <c r="M560" s="68"/>
      <c r="N560" s="68"/>
      <c r="O560" s="68"/>
      <c r="P560" s="68"/>
    </row>
    <row r="561">
      <c r="K561" s="68"/>
      <c r="M561" s="68"/>
      <c r="N561" s="68"/>
      <c r="O561" s="68"/>
      <c r="P561" s="68"/>
    </row>
    <row r="562">
      <c r="K562" s="68"/>
      <c r="M562" s="68"/>
      <c r="N562" s="68"/>
      <c r="O562" s="68"/>
      <c r="P562" s="68"/>
    </row>
    <row r="563">
      <c r="K563" s="68"/>
      <c r="M563" s="68"/>
      <c r="N563" s="68"/>
      <c r="O563" s="68"/>
      <c r="P563" s="68"/>
    </row>
    <row r="564">
      <c r="K564" s="68"/>
      <c r="M564" s="68"/>
      <c r="N564" s="68"/>
      <c r="O564" s="68"/>
      <c r="P564" s="68"/>
    </row>
    <row r="565">
      <c r="K565" s="68"/>
      <c r="M565" s="68"/>
      <c r="N565" s="68"/>
      <c r="O565" s="68"/>
      <c r="P565" s="68"/>
    </row>
    <row r="566">
      <c r="K566" s="68"/>
      <c r="M566" s="68"/>
      <c r="N566" s="68"/>
      <c r="O566" s="68"/>
      <c r="P566" s="68"/>
    </row>
    <row r="567">
      <c r="K567" s="68"/>
      <c r="M567" s="68"/>
      <c r="N567" s="68"/>
      <c r="O567" s="68"/>
      <c r="P567" s="68"/>
    </row>
    <row r="568">
      <c r="K568" s="68"/>
      <c r="M568" s="68"/>
      <c r="N568" s="68"/>
      <c r="O568" s="68"/>
      <c r="P568" s="68"/>
    </row>
    <row r="569">
      <c r="K569" s="68"/>
      <c r="M569" s="68"/>
      <c r="N569" s="68"/>
      <c r="O569" s="68"/>
      <c r="P569" s="68"/>
    </row>
    <row r="570">
      <c r="K570" s="68"/>
      <c r="M570" s="68"/>
      <c r="N570" s="68"/>
      <c r="O570" s="68"/>
      <c r="P570" s="68"/>
    </row>
    <row r="571">
      <c r="K571" s="68"/>
      <c r="M571" s="68"/>
      <c r="N571" s="68"/>
      <c r="O571" s="68"/>
      <c r="P571" s="68"/>
    </row>
    <row r="572">
      <c r="K572" s="68"/>
      <c r="M572" s="68"/>
      <c r="N572" s="68"/>
      <c r="O572" s="68"/>
      <c r="P572" s="68"/>
    </row>
    <row r="573">
      <c r="K573" s="68"/>
      <c r="M573" s="68"/>
      <c r="N573" s="68"/>
      <c r="O573" s="68"/>
      <c r="P573" s="68"/>
    </row>
    <row r="574">
      <c r="K574" s="68"/>
      <c r="M574" s="68"/>
      <c r="N574" s="68"/>
      <c r="O574" s="68"/>
      <c r="P574" s="68"/>
    </row>
    <row r="575">
      <c r="K575" s="68"/>
      <c r="M575" s="68"/>
      <c r="N575" s="68"/>
      <c r="O575" s="68"/>
      <c r="P575" s="68"/>
    </row>
    <row r="576">
      <c r="K576" s="68"/>
      <c r="M576" s="68"/>
      <c r="N576" s="68"/>
      <c r="O576" s="68"/>
      <c r="P576" s="68"/>
    </row>
    <row r="577">
      <c r="K577" s="68"/>
      <c r="M577" s="68"/>
      <c r="N577" s="68"/>
      <c r="O577" s="68"/>
      <c r="P577" s="68"/>
    </row>
    <row r="578">
      <c r="K578" s="68"/>
      <c r="M578" s="68"/>
      <c r="N578" s="68"/>
      <c r="O578" s="68"/>
      <c r="P578" s="68"/>
    </row>
    <row r="579">
      <c r="K579" s="68"/>
      <c r="M579" s="68"/>
      <c r="N579" s="68"/>
      <c r="O579" s="68"/>
      <c r="P579" s="68"/>
    </row>
    <row r="580">
      <c r="K580" s="68"/>
      <c r="M580" s="68"/>
      <c r="N580" s="68"/>
      <c r="O580" s="68"/>
      <c r="P580" s="68"/>
    </row>
    <row r="581">
      <c r="K581" s="68"/>
      <c r="M581" s="68"/>
      <c r="N581" s="68"/>
      <c r="O581" s="68"/>
      <c r="P581" s="68"/>
    </row>
    <row r="582">
      <c r="K582" s="68"/>
      <c r="M582" s="68"/>
      <c r="N582" s="68"/>
      <c r="O582" s="68"/>
      <c r="P582" s="68"/>
    </row>
    <row r="583">
      <c r="K583" s="68"/>
      <c r="M583" s="68"/>
      <c r="N583" s="68"/>
      <c r="O583" s="68"/>
      <c r="P583" s="68"/>
    </row>
    <row r="584">
      <c r="K584" s="68"/>
      <c r="M584" s="68"/>
      <c r="N584" s="68"/>
      <c r="O584" s="68"/>
      <c r="P584" s="68"/>
    </row>
    <row r="585">
      <c r="K585" s="68"/>
      <c r="M585" s="68"/>
      <c r="N585" s="68"/>
      <c r="O585" s="68"/>
      <c r="P585" s="68"/>
    </row>
    <row r="586">
      <c r="K586" s="68"/>
      <c r="M586" s="68"/>
      <c r="N586" s="68"/>
      <c r="O586" s="68"/>
      <c r="P586" s="68"/>
    </row>
    <row r="587">
      <c r="K587" s="68"/>
      <c r="M587" s="68"/>
      <c r="N587" s="68"/>
      <c r="O587" s="68"/>
      <c r="P587" s="68"/>
    </row>
    <row r="588">
      <c r="K588" s="68"/>
      <c r="M588" s="68"/>
      <c r="N588" s="68"/>
      <c r="O588" s="68"/>
      <c r="P588" s="68"/>
    </row>
    <row r="589">
      <c r="K589" s="68"/>
      <c r="M589" s="68"/>
      <c r="N589" s="68"/>
      <c r="O589" s="68"/>
      <c r="P589" s="68"/>
    </row>
    <row r="590">
      <c r="K590" s="68"/>
      <c r="M590" s="68"/>
      <c r="N590" s="68"/>
      <c r="O590" s="68"/>
      <c r="P590" s="68"/>
    </row>
    <row r="591">
      <c r="K591" s="68"/>
      <c r="M591" s="68"/>
      <c r="N591" s="68"/>
      <c r="O591" s="68"/>
      <c r="P591" s="68"/>
    </row>
    <row r="592">
      <c r="K592" s="68"/>
      <c r="M592" s="68"/>
      <c r="N592" s="68"/>
      <c r="O592" s="68"/>
      <c r="P592" s="68"/>
    </row>
    <row r="593">
      <c r="K593" s="68"/>
      <c r="M593" s="68"/>
      <c r="N593" s="68"/>
      <c r="O593" s="68"/>
      <c r="P593" s="68"/>
    </row>
    <row r="594">
      <c r="K594" s="68"/>
      <c r="M594" s="68"/>
      <c r="N594" s="68"/>
      <c r="O594" s="68"/>
      <c r="P594" s="68"/>
    </row>
    <row r="595">
      <c r="K595" s="68"/>
      <c r="M595" s="68"/>
      <c r="N595" s="68"/>
      <c r="O595" s="68"/>
      <c r="P595" s="68"/>
    </row>
    <row r="596">
      <c r="K596" s="68"/>
      <c r="M596" s="68"/>
      <c r="N596" s="68"/>
      <c r="O596" s="68"/>
      <c r="P596" s="68"/>
    </row>
    <row r="597">
      <c r="K597" s="68"/>
      <c r="M597" s="68"/>
      <c r="N597" s="68"/>
      <c r="O597" s="68"/>
      <c r="P597" s="68"/>
    </row>
    <row r="598">
      <c r="K598" s="68"/>
      <c r="M598" s="68"/>
      <c r="N598" s="68"/>
      <c r="O598" s="68"/>
      <c r="P598" s="68"/>
    </row>
    <row r="599">
      <c r="K599" s="68"/>
      <c r="M599" s="68"/>
      <c r="N599" s="68"/>
      <c r="O599" s="68"/>
      <c r="P599" s="68"/>
    </row>
    <row r="600">
      <c r="K600" s="68"/>
      <c r="M600" s="68"/>
      <c r="N600" s="68"/>
      <c r="O600" s="68"/>
      <c r="P600" s="68"/>
    </row>
    <row r="601">
      <c r="K601" s="68"/>
      <c r="M601" s="68"/>
      <c r="N601" s="68"/>
      <c r="O601" s="68"/>
      <c r="P601" s="68"/>
    </row>
    <row r="602">
      <c r="K602" s="68"/>
      <c r="M602" s="68"/>
      <c r="N602" s="68"/>
      <c r="O602" s="68"/>
      <c r="P602" s="68"/>
    </row>
    <row r="603">
      <c r="K603" s="68"/>
      <c r="M603" s="68"/>
      <c r="N603" s="68"/>
      <c r="O603" s="68"/>
      <c r="P603" s="68"/>
    </row>
    <row r="604">
      <c r="K604" s="68"/>
      <c r="M604" s="68"/>
      <c r="N604" s="68"/>
      <c r="O604" s="68"/>
      <c r="P604" s="68"/>
    </row>
    <row r="605">
      <c r="K605" s="68"/>
      <c r="M605" s="68"/>
      <c r="N605" s="68"/>
      <c r="O605" s="68"/>
      <c r="P605" s="68"/>
    </row>
    <row r="606">
      <c r="K606" s="68"/>
      <c r="M606" s="68"/>
      <c r="N606" s="68"/>
      <c r="O606" s="68"/>
      <c r="P606" s="68"/>
    </row>
    <row r="607">
      <c r="K607" s="68"/>
      <c r="M607" s="68"/>
      <c r="N607" s="68"/>
      <c r="O607" s="68"/>
      <c r="P607" s="68"/>
    </row>
    <row r="608">
      <c r="K608" s="68"/>
      <c r="M608" s="68"/>
      <c r="N608" s="68"/>
      <c r="O608" s="68"/>
      <c r="P608" s="68"/>
    </row>
    <row r="609">
      <c r="K609" s="68"/>
      <c r="M609" s="68"/>
      <c r="N609" s="68"/>
      <c r="O609" s="68"/>
      <c r="P609" s="68"/>
    </row>
    <row r="610">
      <c r="K610" s="68"/>
      <c r="M610" s="68"/>
      <c r="N610" s="68"/>
      <c r="O610" s="68"/>
      <c r="P610" s="68"/>
    </row>
    <row r="611">
      <c r="K611" s="68"/>
      <c r="M611" s="68"/>
      <c r="N611" s="68"/>
      <c r="O611" s="68"/>
      <c r="P611" s="68"/>
    </row>
    <row r="612">
      <c r="K612" s="68"/>
      <c r="M612" s="68"/>
      <c r="N612" s="68"/>
      <c r="O612" s="68"/>
      <c r="P612" s="68"/>
    </row>
    <row r="613">
      <c r="K613" s="68"/>
      <c r="M613" s="68"/>
      <c r="N613" s="68"/>
      <c r="O613" s="68"/>
      <c r="P613" s="68"/>
    </row>
    <row r="614">
      <c r="K614" s="68"/>
      <c r="M614" s="68"/>
      <c r="N614" s="68"/>
      <c r="O614" s="68"/>
      <c r="P614" s="68"/>
    </row>
    <row r="615">
      <c r="K615" s="68"/>
      <c r="M615" s="68"/>
      <c r="N615" s="68"/>
      <c r="O615" s="68"/>
      <c r="P615" s="68"/>
    </row>
    <row r="616">
      <c r="K616" s="68"/>
      <c r="M616" s="68"/>
      <c r="N616" s="68"/>
      <c r="O616" s="68"/>
      <c r="P616" s="68"/>
    </row>
    <row r="617">
      <c r="K617" s="68"/>
      <c r="M617" s="68"/>
      <c r="N617" s="68"/>
      <c r="O617" s="68"/>
      <c r="P617" s="68"/>
    </row>
    <row r="618">
      <c r="K618" s="68"/>
      <c r="M618" s="68"/>
      <c r="N618" s="68"/>
      <c r="O618" s="68"/>
      <c r="P618" s="68"/>
    </row>
    <row r="619">
      <c r="K619" s="68"/>
      <c r="M619" s="68"/>
      <c r="N619" s="68"/>
      <c r="O619" s="68"/>
      <c r="P619" s="68"/>
    </row>
    <row r="620">
      <c r="K620" s="68"/>
      <c r="M620" s="68"/>
      <c r="N620" s="68"/>
      <c r="O620" s="68"/>
      <c r="P620" s="68"/>
    </row>
    <row r="621">
      <c r="K621" s="68"/>
      <c r="M621" s="68"/>
      <c r="N621" s="68"/>
      <c r="O621" s="68"/>
      <c r="P621" s="68"/>
    </row>
    <row r="622">
      <c r="K622" s="68"/>
      <c r="M622" s="68"/>
      <c r="N622" s="68"/>
      <c r="O622" s="68"/>
      <c r="P622" s="68"/>
    </row>
    <row r="623">
      <c r="K623" s="68"/>
      <c r="M623" s="68"/>
      <c r="N623" s="68"/>
      <c r="O623" s="68"/>
      <c r="P623" s="68"/>
    </row>
    <row r="624">
      <c r="K624" s="68"/>
      <c r="M624" s="68"/>
      <c r="N624" s="68"/>
      <c r="O624" s="68"/>
      <c r="P624" s="68"/>
    </row>
    <row r="625">
      <c r="K625" s="68"/>
      <c r="M625" s="68"/>
      <c r="N625" s="68"/>
      <c r="O625" s="68"/>
      <c r="P625" s="68"/>
    </row>
    <row r="626">
      <c r="K626" s="68"/>
      <c r="M626" s="68"/>
      <c r="N626" s="68"/>
      <c r="O626" s="68"/>
      <c r="P626" s="68"/>
    </row>
    <row r="627">
      <c r="K627" s="68"/>
      <c r="M627" s="68"/>
      <c r="N627" s="68"/>
      <c r="O627" s="68"/>
      <c r="P627" s="68"/>
    </row>
    <row r="628">
      <c r="K628" s="68"/>
      <c r="M628" s="68"/>
      <c r="N628" s="68"/>
      <c r="O628" s="68"/>
      <c r="P628" s="68"/>
    </row>
    <row r="629">
      <c r="K629" s="68"/>
      <c r="M629" s="68"/>
      <c r="N629" s="68"/>
      <c r="O629" s="68"/>
      <c r="P629" s="68"/>
    </row>
    <row r="630">
      <c r="K630" s="68"/>
      <c r="M630" s="68"/>
      <c r="N630" s="68"/>
      <c r="O630" s="68"/>
      <c r="P630" s="68"/>
    </row>
    <row r="631">
      <c r="K631" s="68"/>
      <c r="M631" s="68"/>
      <c r="N631" s="68"/>
      <c r="O631" s="68"/>
      <c r="P631" s="68"/>
    </row>
    <row r="632">
      <c r="K632" s="68"/>
      <c r="M632" s="68"/>
      <c r="N632" s="68"/>
      <c r="O632" s="68"/>
      <c r="P632" s="68"/>
    </row>
    <row r="633">
      <c r="K633" s="68"/>
      <c r="M633" s="68"/>
      <c r="N633" s="68"/>
      <c r="O633" s="68"/>
      <c r="P633" s="68"/>
    </row>
    <row r="634">
      <c r="K634" s="68"/>
      <c r="M634" s="68"/>
      <c r="N634" s="68"/>
      <c r="O634" s="68"/>
      <c r="P634" s="68"/>
    </row>
    <row r="635">
      <c r="K635" s="68"/>
      <c r="M635" s="68"/>
      <c r="N635" s="68"/>
      <c r="O635" s="68"/>
      <c r="P635" s="68"/>
    </row>
    <row r="636">
      <c r="K636" s="68"/>
      <c r="M636" s="68"/>
      <c r="N636" s="68"/>
      <c r="O636" s="68"/>
      <c r="P636" s="68"/>
    </row>
    <row r="637">
      <c r="K637" s="68"/>
      <c r="M637" s="68"/>
      <c r="N637" s="68"/>
      <c r="O637" s="68"/>
      <c r="P637" s="68"/>
    </row>
    <row r="638">
      <c r="K638" s="68"/>
      <c r="M638" s="68"/>
      <c r="N638" s="68"/>
      <c r="O638" s="68"/>
      <c r="P638" s="68"/>
    </row>
    <row r="639">
      <c r="K639" s="68"/>
      <c r="M639" s="68"/>
      <c r="N639" s="68"/>
      <c r="O639" s="68"/>
      <c r="P639" s="68"/>
    </row>
    <row r="640">
      <c r="K640" s="68"/>
      <c r="M640" s="68"/>
      <c r="N640" s="68"/>
      <c r="O640" s="68"/>
      <c r="P640" s="68"/>
    </row>
    <row r="641">
      <c r="K641" s="68"/>
      <c r="M641" s="68"/>
      <c r="N641" s="68"/>
      <c r="O641" s="68"/>
      <c r="P641" s="68"/>
    </row>
    <row r="642">
      <c r="K642" s="68"/>
      <c r="M642" s="68"/>
      <c r="N642" s="68"/>
      <c r="O642" s="68"/>
      <c r="P642" s="68"/>
    </row>
    <row r="643">
      <c r="K643" s="68"/>
      <c r="M643" s="68"/>
      <c r="N643" s="68"/>
      <c r="O643" s="68"/>
      <c r="P643" s="68"/>
    </row>
    <row r="644">
      <c r="K644" s="68"/>
      <c r="M644" s="68"/>
      <c r="N644" s="68"/>
      <c r="O644" s="68"/>
      <c r="P644" s="68"/>
    </row>
    <row r="645">
      <c r="K645" s="68"/>
      <c r="M645" s="68"/>
      <c r="N645" s="68"/>
      <c r="O645" s="68"/>
      <c r="P645" s="68"/>
    </row>
    <row r="646">
      <c r="K646" s="68"/>
      <c r="M646" s="68"/>
      <c r="N646" s="68"/>
      <c r="O646" s="68"/>
      <c r="P646" s="68"/>
    </row>
    <row r="647">
      <c r="K647" s="68"/>
      <c r="M647" s="68"/>
      <c r="N647" s="68"/>
      <c r="O647" s="68"/>
      <c r="P647" s="68"/>
    </row>
    <row r="648">
      <c r="K648" s="68"/>
      <c r="M648" s="68"/>
      <c r="N648" s="68"/>
      <c r="O648" s="68"/>
      <c r="P648" s="68"/>
    </row>
    <row r="649">
      <c r="K649" s="68"/>
      <c r="M649" s="68"/>
      <c r="N649" s="68"/>
      <c r="O649" s="68"/>
      <c r="P649" s="68"/>
    </row>
    <row r="650">
      <c r="K650" s="68"/>
      <c r="M650" s="68"/>
      <c r="N650" s="68"/>
      <c r="O650" s="68"/>
      <c r="P650" s="68"/>
    </row>
    <row r="651">
      <c r="K651" s="68"/>
      <c r="M651" s="68"/>
      <c r="N651" s="68"/>
      <c r="O651" s="68"/>
      <c r="P651" s="68"/>
    </row>
    <row r="652">
      <c r="K652" s="68"/>
      <c r="M652" s="68"/>
      <c r="N652" s="68"/>
      <c r="O652" s="68"/>
      <c r="P652" s="68"/>
    </row>
    <row r="653">
      <c r="K653" s="68"/>
      <c r="M653" s="68"/>
      <c r="N653" s="68"/>
      <c r="O653" s="68"/>
      <c r="P653" s="68"/>
    </row>
    <row r="654">
      <c r="K654" s="68"/>
      <c r="M654" s="68"/>
      <c r="N654" s="68"/>
      <c r="O654" s="68"/>
      <c r="P654" s="68"/>
    </row>
    <row r="655">
      <c r="K655" s="68"/>
      <c r="M655" s="68"/>
      <c r="N655" s="68"/>
      <c r="O655" s="68"/>
      <c r="P655" s="68"/>
    </row>
    <row r="656">
      <c r="K656" s="68"/>
      <c r="M656" s="68"/>
      <c r="N656" s="68"/>
      <c r="O656" s="68"/>
      <c r="P656" s="68"/>
    </row>
    <row r="657">
      <c r="K657" s="68"/>
      <c r="M657" s="68"/>
      <c r="N657" s="68"/>
      <c r="O657" s="68"/>
      <c r="P657" s="68"/>
    </row>
    <row r="658">
      <c r="K658" s="68"/>
      <c r="M658" s="68"/>
      <c r="N658" s="68"/>
      <c r="O658" s="68"/>
      <c r="P658" s="68"/>
    </row>
    <row r="659">
      <c r="K659" s="68"/>
      <c r="M659" s="68"/>
      <c r="N659" s="68"/>
      <c r="O659" s="68"/>
      <c r="P659" s="68"/>
    </row>
    <row r="660">
      <c r="K660" s="68"/>
      <c r="M660" s="68"/>
      <c r="N660" s="68"/>
      <c r="O660" s="68"/>
      <c r="P660" s="68"/>
    </row>
    <row r="661">
      <c r="K661" s="68"/>
      <c r="M661" s="68"/>
      <c r="N661" s="68"/>
      <c r="O661" s="68"/>
      <c r="P661" s="68"/>
    </row>
    <row r="662">
      <c r="K662" s="68"/>
      <c r="M662" s="68"/>
      <c r="N662" s="68"/>
      <c r="O662" s="68"/>
      <c r="P662" s="68"/>
    </row>
    <row r="663">
      <c r="K663" s="68"/>
      <c r="M663" s="68"/>
      <c r="N663" s="68"/>
      <c r="O663" s="68"/>
      <c r="P663" s="68"/>
    </row>
    <row r="664">
      <c r="K664" s="68"/>
      <c r="M664" s="68"/>
      <c r="N664" s="68"/>
      <c r="O664" s="68"/>
      <c r="P664" s="68"/>
    </row>
    <row r="665">
      <c r="K665" s="68"/>
      <c r="M665" s="68"/>
      <c r="N665" s="68"/>
      <c r="O665" s="68"/>
      <c r="P665" s="68"/>
    </row>
    <row r="666">
      <c r="K666" s="68"/>
      <c r="M666" s="68"/>
      <c r="N666" s="68"/>
      <c r="O666" s="68"/>
      <c r="P666" s="68"/>
    </row>
    <row r="667">
      <c r="K667" s="68"/>
      <c r="M667" s="68"/>
      <c r="N667" s="68"/>
      <c r="O667" s="68"/>
      <c r="P667" s="68"/>
    </row>
    <row r="668">
      <c r="K668" s="68"/>
      <c r="M668" s="68"/>
      <c r="N668" s="68"/>
      <c r="O668" s="68"/>
      <c r="P668" s="68"/>
    </row>
    <row r="669">
      <c r="K669" s="68"/>
      <c r="M669" s="68"/>
      <c r="N669" s="68"/>
      <c r="O669" s="68"/>
      <c r="P669" s="68"/>
    </row>
    <row r="670">
      <c r="K670" s="68"/>
      <c r="M670" s="68"/>
      <c r="N670" s="68"/>
      <c r="O670" s="68"/>
      <c r="P670" s="68"/>
    </row>
    <row r="671">
      <c r="K671" s="68"/>
      <c r="M671" s="68"/>
      <c r="N671" s="68"/>
      <c r="O671" s="68"/>
      <c r="P671" s="68"/>
    </row>
    <row r="672">
      <c r="K672" s="68"/>
      <c r="M672" s="68"/>
      <c r="N672" s="68"/>
      <c r="O672" s="68"/>
      <c r="P672" s="68"/>
    </row>
    <row r="673">
      <c r="K673" s="68"/>
      <c r="M673" s="68"/>
      <c r="N673" s="68"/>
      <c r="O673" s="68"/>
      <c r="P673" s="68"/>
    </row>
    <row r="674">
      <c r="K674" s="68"/>
      <c r="M674" s="68"/>
      <c r="N674" s="68"/>
      <c r="O674" s="68"/>
      <c r="P674" s="68"/>
    </row>
    <row r="675">
      <c r="K675" s="68"/>
      <c r="M675" s="68"/>
      <c r="N675" s="68"/>
      <c r="O675" s="68"/>
      <c r="P675" s="68"/>
    </row>
    <row r="676">
      <c r="K676" s="68"/>
      <c r="M676" s="68"/>
      <c r="N676" s="68"/>
      <c r="O676" s="68"/>
      <c r="P676" s="68"/>
    </row>
    <row r="677">
      <c r="K677" s="68"/>
      <c r="M677" s="68"/>
      <c r="N677" s="68"/>
      <c r="O677" s="68"/>
      <c r="P677" s="68"/>
    </row>
    <row r="678">
      <c r="K678" s="68"/>
      <c r="M678" s="68"/>
      <c r="N678" s="68"/>
      <c r="O678" s="68"/>
      <c r="P678" s="68"/>
    </row>
    <row r="679">
      <c r="K679" s="68"/>
      <c r="M679" s="68"/>
      <c r="N679" s="68"/>
      <c r="O679" s="68"/>
      <c r="P679" s="68"/>
    </row>
    <row r="680">
      <c r="K680" s="68"/>
      <c r="M680" s="68"/>
      <c r="N680" s="68"/>
      <c r="O680" s="68"/>
      <c r="P680" s="68"/>
    </row>
    <row r="681">
      <c r="K681" s="68"/>
      <c r="M681" s="68"/>
      <c r="N681" s="68"/>
      <c r="O681" s="68"/>
      <c r="P681" s="68"/>
    </row>
    <row r="682">
      <c r="K682" s="68"/>
      <c r="M682" s="68"/>
      <c r="N682" s="68"/>
      <c r="O682" s="68"/>
      <c r="P682" s="68"/>
    </row>
    <row r="683">
      <c r="K683" s="68"/>
      <c r="M683" s="68"/>
      <c r="N683" s="68"/>
      <c r="O683" s="68"/>
      <c r="P683" s="68"/>
    </row>
    <row r="684">
      <c r="K684" s="68"/>
      <c r="M684" s="68"/>
      <c r="N684" s="68"/>
      <c r="O684" s="68"/>
      <c r="P684" s="68"/>
    </row>
    <row r="685">
      <c r="K685" s="68"/>
      <c r="M685" s="68"/>
      <c r="N685" s="68"/>
      <c r="O685" s="68"/>
      <c r="P685" s="68"/>
    </row>
    <row r="686">
      <c r="K686" s="68"/>
      <c r="M686" s="68"/>
      <c r="N686" s="68"/>
      <c r="O686" s="68"/>
      <c r="P686" s="68"/>
    </row>
    <row r="687">
      <c r="K687" s="68"/>
      <c r="M687" s="68"/>
      <c r="N687" s="68"/>
      <c r="O687" s="68"/>
      <c r="P687" s="68"/>
    </row>
    <row r="688">
      <c r="K688" s="68"/>
      <c r="M688" s="68"/>
      <c r="N688" s="68"/>
      <c r="O688" s="68"/>
      <c r="P688" s="68"/>
    </row>
    <row r="689">
      <c r="K689" s="68"/>
      <c r="M689" s="68"/>
      <c r="N689" s="68"/>
      <c r="O689" s="68"/>
      <c r="P689" s="68"/>
    </row>
    <row r="690">
      <c r="K690" s="68"/>
      <c r="M690" s="68"/>
      <c r="N690" s="68"/>
      <c r="O690" s="68"/>
      <c r="P690" s="68"/>
    </row>
    <row r="691">
      <c r="K691" s="68"/>
      <c r="M691" s="68"/>
      <c r="N691" s="68"/>
      <c r="O691" s="68"/>
      <c r="P691" s="68"/>
    </row>
    <row r="692">
      <c r="K692" s="68"/>
      <c r="M692" s="68"/>
      <c r="N692" s="68"/>
      <c r="O692" s="68"/>
      <c r="P692" s="68"/>
    </row>
    <row r="693">
      <c r="K693" s="68"/>
      <c r="M693" s="68"/>
      <c r="N693" s="68"/>
      <c r="O693" s="68"/>
      <c r="P693" s="68"/>
    </row>
    <row r="694">
      <c r="K694" s="68"/>
      <c r="M694" s="68"/>
      <c r="N694" s="68"/>
      <c r="O694" s="68"/>
      <c r="P694" s="68"/>
    </row>
    <row r="695">
      <c r="K695" s="68"/>
      <c r="M695" s="68"/>
      <c r="N695" s="68"/>
      <c r="O695" s="68"/>
      <c r="P695" s="68"/>
    </row>
    <row r="696">
      <c r="K696" s="68"/>
      <c r="M696" s="68"/>
      <c r="N696" s="68"/>
      <c r="O696" s="68"/>
      <c r="P696" s="68"/>
    </row>
    <row r="697">
      <c r="K697" s="68"/>
      <c r="M697" s="68"/>
      <c r="N697" s="68"/>
      <c r="O697" s="68"/>
      <c r="P697" s="68"/>
    </row>
    <row r="698">
      <c r="K698" s="68"/>
      <c r="M698" s="68"/>
      <c r="N698" s="68"/>
      <c r="O698" s="68"/>
      <c r="P698" s="68"/>
    </row>
    <row r="699">
      <c r="K699" s="68"/>
      <c r="M699" s="68"/>
      <c r="N699" s="68"/>
      <c r="O699" s="68"/>
      <c r="P699" s="68"/>
    </row>
    <row r="700">
      <c r="K700" s="68"/>
      <c r="M700" s="68"/>
      <c r="N700" s="68"/>
      <c r="O700" s="68"/>
      <c r="P700" s="68"/>
    </row>
    <row r="701">
      <c r="K701" s="68"/>
      <c r="M701" s="68"/>
      <c r="N701" s="68"/>
      <c r="O701" s="68"/>
      <c r="P701" s="68"/>
    </row>
    <row r="702">
      <c r="K702" s="68"/>
      <c r="M702" s="68"/>
      <c r="N702" s="68"/>
      <c r="O702" s="68"/>
      <c r="P702" s="68"/>
    </row>
    <row r="703">
      <c r="K703" s="68"/>
      <c r="M703" s="68"/>
      <c r="N703" s="68"/>
      <c r="O703" s="68"/>
      <c r="P703" s="68"/>
    </row>
    <row r="704">
      <c r="K704" s="68"/>
      <c r="M704" s="68"/>
      <c r="N704" s="68"/>
      <c r="O704" s="68"/>
      <c r="P704" s="68"/>
    </row>
    <row r="705">
      <c r="K705" s="68"/>
      <c r="M705" s="68"/>
      <c r="N705" s="68"/>
      <c r="O705" s="68"/>
      <c r="P705" s="68"/>
    </row>
    <row r="706">
      <c r="K706" s="68"/>
      <c r="M706" s="68"/>
      <c r="N706" s="68"/>
      <c r="O706" s="68"/>
      <c r="P706" s="68"/>
    </row>
    <row r="707">
      <c r="K707" s="68"/>
      <c r="M707" s="68"/>
      <c r="N707" s="68"/>
      <c r="O707" s="68"/>
      <c r="P707" s="68"/>
    </row>
    <row r="708">
      <c r="K708" s="68"/>
      <c r="M708" s="68"/>
      <c r="N708" s="68"/>
      <c r="O708" s="68"/>
      <c r="P708" s="68"/>
    </row>
    <row r="709">
      <c r="K709" s="68"/>
      <c r="M709" s="68"/>
      <c r="N709" s="68"/>
      <c r="O709" s="68"/>
      <c r="P709" s="68"/>
    </row>
    <row r="710">
      <c r="K710" s="68"/>
      <c r="M710" s="68"/>
      <c r="N710" s="68"/>
      <c r="O710" s="68"/>
      <c r="P710" s="68"/>
    </row>
    <row r="711">
      <c r="K711" s="68"/>
      <c r="M711" s="68"/>
      <c r="N711" s="68"/>
      <c r="O711" s="68"/>
      <c r="P711" s="68"/>
    </row>
    <row r="712">
      <c r="K712" s="68"/>
      <c r="M712" s="68"/>
      <c r="N712" s="68"/>
      <c r="O712" s="68"/>
      <c r="P712" s="68"/>
    </row>
    <row r="713">
      <c r="K713" s="68"/>
      <c r="M713" s="68"/>
      <c r="N713" s="68"/>
      <c r="O713" s="68"/>
      <c r="P713" s="68"/>
    </row>
    <row r="714">
      <c r="K714" s="68"/>
      <c r="M714" s="68"/>
      <c r="N714" s="68"/>
      <c r="O714" s="68"/>
      <c r="P714" s="68"/>
    </row>
    <row r="715">
      <c r="K715" s="68"/>
      <c r="M715" s="68"/>
      <c r="N715" s="68"/>
      <c r="O715" s="68"/>
      <c r="P715" s="68"/>
    </row>
    <row r="716">
      <c r="K716" s="68"/>
      <c r="M716" s="68"/>
      <c r="N716" s="68"/>
      <c r="O716" s="68"/>
      <c r="P716" s="68"/>
    </row>
    <row r="717">
      <c r="K717" s="68"/>
      <c r="M717" s="68"/>
      <c r="N717" s="68"/>
      <c r="O717" s="68"/>
      <c r="P717" s="68"/>
    </row>
    <row r="718">
      <c r="K718" s="68"/>
      <c r="M718" s="68"/>
      <c r="N718" s="68"/>
      <c r="O718" s="68"/>
      <c r="P718" s="68"/>
    </row>
    <row r="719">
      <c r="K719" s="68"/>
      <c r="M719" s="68"/>
      <c r="N719" s="68"/>
      <c r="O719" s="68"/>
      <c r="P719" s="68"/>
    </row>
    <row r="720">
      <c r="K720" s="68"/>
      <c r="M720" s="68"/>
      <c r="N720" s="68"/>
      <c r="O720" s="68"/>
      <c r="P720" s="68"/>
    </row>
    <row r="721">
      <c r="K721" s="68"/>
      <c r="M721" s="68"/>
      <c r="N721" s="68"/>
      <c r="O721" s="68"/>
      <c r="P721" s="68"/>
    </row>
    <row r="722">
      <c r="K722" s="68"/>
      <c r="M722" s="68"/>
      <c r="N722" s="68"/>
      <c r="O722" s="68"/>
      <c r="P722" s="68"/>
    </row>
    <row r="723">
      <c r="K723" s="68"/>
      <c r="M723" s="68"/>
      <c r="N723" s="68"/>
      <c r="O723" s="68"/>
      <c r="P723" s="68"/>
    </row>
    <row r="724">
      <c r="K724" s="68"/>
      <c r="M724" s="68"/>
      <c r="N724" s="68"/>
      <c r="O724" s="68"/>
      <c r="P724" s="68"/>
    </row>
    <row r="725">
      <c r="K725" s="68"/>
      <c r="M725" s="68"/>
      <c r="N725" s="68"/>
      <c r="O725" s="68"/>
      <c r="P725" s="68"/>
    </row>
    <row r="726">
      <c r="K726" s="68"/>
      <c r="M726" s="68"/>
      <c r="N726" s="68"/>
      <c r="O726" s="68"/>
      <c r="P726" s="68"/>
    </row>
    <row r="727">
      <c r="K727" s="68"/>
      <c r="M727" s="68"/>
      <c r="N727" s="68"/>
      <c r="O727" s="68"/>
      <c r="P727" s="68"/>
    </row>
    <row r="728">
      <c r="K728" s="68"/>
      <c r="M728" s="68"/>
      <c r="N728" s="68"/>
      <c r="O728" s="68"/>
      <c r="P728" s="68"/>
    </row>
    <row r="729">
      <c r="K729" s="68"/>
      <c r="M729" s="68"/>
      <c r="N729" s="68"/>
      <c r="O729" s="68"/>
      <c r="P729" s="68"/>
    </row>
    <row r="730">
      <c r="K730" s="68"/>
      <c r="M730" s="68"/>
      <c r="N730" s="68"/>
      <c r="O730" s="68"/>
      <c r="P730" s="68"/>
    </row>
    <row r="731">
      <c r="K731" s="68"/>
      <c r="M731" s="68"/>
      <c r="N731" s="68"/>
      <c r="O731" s="68"/>
      <c r="P731" s="68"/>
    </row>
    <row r="732">
      <c r="K732" s="68"/>
      <c r="M732" s="68"/>
      <c r="N732" s="68"/>
      <c r="O732" s="68"/>
      <c r="P732" s="68"/>
    </row>
    <row r="733">
      <c r="K733" s="68"/>
      <c r="M733" s="68"/>
      <c r="N733" s="68"/>
      <c r="O733" s="68"/>
      <c r="P733" s="68"/>
    </row>
    <row r="734">
      <c r="K734" s="68"/>
      <c r="M734" s="68"/>
      <c r="N734" s="68"/>
      <c r="O734" s="68"/>
      <c r="P734" s="68"/>
    </row>
    <row r="735">
      <c r="K735" s="68"/>
      <c r="M735" s="68"/>
      <c r="N735" s="68"/>
      <c r="O735" s="68"/>
      <c r="P735" s="68"/>
    </row>
    <row r="736">
      <c r="K736" s="68"/>
      <c r="M736" s="68"/>
      <c r="N736" s="68"/>
      <c r="O736" s="68"/>
      <c r="P736" s="68"/>
    </row>
    <row r="737">
      <c r="K737" s="68"/>
      <c r="M737" s="68"/>
      <c r="N737" s="68"/>
      <c r="O737" s="68"/>
      <c r="P737" s="68"/>
    </row>
    <row r="738">
      <c r="K738" s="68"/>
      <c r="M738" s="68"/>
      <c r="N738" s="68"/>
      <c r="O738" s="68"/>
      <c r="P738" s="68"/>
    </row>
    <row r="739">
      <c r="K739" s="68"/>
      <c r="M739" s="68"/>
      <c r="N739" s="68"/>
      <c r="O739" s="68"/>
      <c r="P739" s="68"/>
    </row>
    <row r="740">
      <c r="K740" s="68"/>
      <c r="M740" s="68"/>
      <c r="N740" s="68"/>
      <c r="O740" s="68"/>
      <c r="P740" s="68"/>
    </row>
    <row r="741">
      <c r="K741" s="68"/>
      <c r="M741" s="68"/>
      <c r="N741" s="68"/>
      <c r="O741" s="68"/>
      <c r="P741" s="68"/>
    </row>
    <row r="742">
      <c r="K742" s="68"/>
      <c r="M742" s="68"/>
      <c r="N742" s="68"/>
      <c r="O742" s="68"/>
      <c r="P742" s="68"/>
    </row>
    <row r="743">
      <c r="K743" s="68"/>
      <c r="M743" s="68"/>
      <c r="N743" s="68"/>
      <c r="O743" s="68"/>
      <c r="P743" s="68"/>
    </row>
    <row r="744">
      <c r="K744" s="68"/>
      <c r="M744" s="68"/>
      <c r="N744" s="68"/>
      <c r="O744" s="68"/>
      <c r="P744" s="68"/>
    </row>
    <row r="745">
      <c r="K745" s="68"/>
      <c r="M745" s="68"/>
      <c r="N745" s="68"/>
      <c r="O745" s="68"/>
      <c r="P745" s="68"/>
    </row>
    <row r="746">
      <c r="K746" s="68"/>
      <c r="M746" s="68"/>
      <c r="N746" s="68"/>
      <c r="O746" s="68"/>
      <c r="P746" s="68"/>
    </row>
    <row r="747">
      <c r="K747" s="68"/>
      <c r="M747" s="68"/>
      <c r="N747" s="68"/>
      <c r="O747" s="68"/>
      <c r="P747" s="68"/>
    </row>
    <row r="748">
      <c r="K748" s="68"/>
      <c r="M748" s="68"/>
      <c r="N748" s="68"/>
      <c r="O748" s="68"/>
      <c r="P748" s="68"/>
    </row>
    <row r="749">
      <c r="K749" s="68"/>
      <c r="M749" s="68"/>
      <c r="N749" s="68"/>
      <c r="O749" s="68"/>
      <c r="P749" s="68"/>
    </row>
    <row r="750">
      <c r="K750" s="68"/>
      <c r="M750" s="68"/>
      <c r="N750" s="68"/>
      <c r="O750" s="68"/>
      <c r="P750" s="68"/>
    </row>
    <row r="751">
      <c r="K751" s="68"/>
      <c r="M751" s="68"/>
      <c r="N751" s="68"/>
      <c r="O751" s="68"/>
      <c r="P751" s="68"/>
    </row>
    <row r="752">
      <c r="K752" s="68"/>
      <c r="M752" s="68"/>
      <c r="N752" s="68"/>
      <c r="O752" s="68"/>
      <c r="P752" s="68"/>
    </row>
    <row r="753">
      <c r="K753" s="68"/>
      <c r="M753" s="68"/>
      <c r="N753" s="68"/>
      <c r="O753" s="68"/>
      <c r="P753" s="68"/>
    </row>
    <row r="754">
      <c r="K754" s="68"/>
      <c r="M754" s="68"/>
      <c r="N754" s="68"/>
      <c r="O754" s="68"/>
      <c r="P754" s="68"/>
    </row>
    <row r="755">
      <c r="K755" s="68"/>
      <c r="M755" s="68"/>
      <c r="N755" s="68"/>
      <c r="O755" s="68"/>
      <c r="P755" s="68"/>
    </row>
    <row r="756">
      <c r="K756" s="68"/>
      <c r="M756" s="68"/>
      <c r="N756" s="68"/>
      <c r="O756" s="68"/>
      <c r="P756" s="68"/>
    </row>
    <row r="757">
      <c r="K757" s="68"/>
      <c r="M757" s="68"/>
      <c r="N757" s="68"/>
      <c r="O757" s="68"/>
      <c r="P757" s="68"/>
    </row>
    <row r="758">
      <c r="K758" s="68"/>
      <c r="M758" s="68"/>
      <c r="N758" s="68"/>
      <c r="O758" s="68"/>
      <c r="P758" s="68"/>
    </row>
    <row r="759">
      <c r="K759" s="68"/>
      <c r="M759" s="68"/>
      <c r="N759" s="68"/>
      <c r="O759" s="68"/>
      <c r="P759" s="68"/>
    </row>
    <row r="760">
      <c r="K760" s="68"/>
      <c r="M760" s="68"/>
      <c r="N760" s="68"/>
      <c r="O760" s="68"/>
      <c r="P760" s="68"/>
    </row>
    <row r="761">
      <c r="K761" s="68"/>
      <c r="M761" s="68"/>
      <c r="N761" s="68"/>
      <c r="O761" s="68"/>
      <c r="P761" s="68"/>
    </row>
    <row r="762">
      <c r="K762" s="68"/>
      <c r="M762" s="68"/>
      <c r="N762" s="68"/>
      <c r="O762" s="68"/>
      <c r="P762" s="68"/>
    </row>
    <row r="763">
      <c r="K763" s="68"/>
      <c r="M763" s="68"/>
      <c r="N763" s="68"/>
      <c r="O763" s="68"/>
      <c r="P763" s="68"/>
    </row>
    <row r="764">
      <c r="K764" s="68"/>
      <c r="M764" s="68"/>
      <c r="N764" s="68"/>
      <c r="O764" s="68"/>
      <c r="P764" s="68"/>
    </row>
    <row r="765">
      <c r="K765" s="68"/>
      <c r="M765" s="68"/>
      <c r="N765" s="68"/>
      <c r="O765" s="68"/>
      <c r="P765" s="68"/>
    </row>
    <row r="766">
      <c r="K766" s="68"/>
      <c r="M766" s="68"/>
      <c r="N766" s="68"/>
      <c r="O766" s="68"/>
      <c r="P766" s="68"/>
    </row>
    <row r="767">
      <c r="K767" s="68"/>
      <c r="M767" s="68"/>
      <c r="N767" s="68"/>
      <c r="O767" s="68"/>
      <c r="P767" s="68"/>
    </row>
    <row r="768">
      <c r="K768" s="68"/>
      <c r="M768" s="68"/>
      <c r="N768" s="68"/>
      <c r="O768" s="68"/>
      <c r="P768" s="68"/>
    </row>
    <row r="769">
      <c r="K769" s="68"/>
      <c r="M769" s="68"/>
      <c r="N769" s="68"/>
      <c r="O769" s="68"/>
      <c r="P769" s="68"/>
    </row>
    <row r="770">
      <c r="K770" s="68"/>
      <c r="M770" s="68"/>
      <c r="N770" s="68"/>
      <c r="O770" s="68"/>
      <c r="P770" s="68"/>
    </row>
    <row r="771">
      <c r="K771" s="68"/>
      <c r="M771" s="68"/>
      <c r="N771" s="68"/>
      <c r="O771" s="68"/>
      <c r="P771" s="68"/>
    </row>
    <row r="772">
      <c r="K772" s="68"/>
      <c r="M772" s="68"/>
      <c r="N772" s="68"/>
      <c r="O772" s="68"/>
      <c r="P772" s="68"/>
    </row>
    <row r="773">
      <c r="K773" s="68"/>
      <c r="M773" s="68"/>
      <c r="N773" s="68"/>
      <c r="O773" s="68"/>
      <c r="P773" s="68"/>
    </row>
    <row r="774">
      <c r="K774" s="68"/>
      <c r="M774" s="68"/>
      <c r="N774" s="68"/>
      <c r="O774" s="68"/>
      <c r="P774" s="68"/>
    </row>
    <row r="775">
      <c r="K775" s="68"/>
      <c r="M775" s="68"/>
      <c r="N775" s="68"/>
      <c r="O775" s="68"/>
      <c r="P775" s="68"/>
    </row>
    <row r="776">
      <c r="K776" s="68"/>
      <c r="M776" s="68"/>
      <c r="N776" s="68"/>
      <c r="O776" s="68"/>
      <c r="P776" s="68"/>
    </row>
    <row r="777">
      <c r="K777" s="68"/>
      <c r="M777" s="68"/>
      <c r="N777" s="68"/>
      <c r="O777" s="68"/>
      <c r="P777" s="68"/>
    </row>
    <row r="778">
      <c r="K778" s="68"/>
      <c r="M778" s="68"/>
      <c r="N778" s="68"/>
      <c r="O778" s="68"/>
      <c r="P778" s="68"/>
    </row>
    <row r="779">
      <c r="K779" s="68"/>
      <c r="M779" s="68"/>
      <c r="N779" s="68"/>
      <c r="O779" s="68"/>
      <c r="P779" s="68"/>
    </row>
    <row r="780">
      <c r="K780" s="68"/>
      <c r="M780" s="68"/>
      <c r="N780" s="68"/>
      <c r="O780" s="68"/>
      <c r="P780" s="68"/>
    </row>
    <row r="781">
      <c r="K781" s="68"/>
      <c r="M781" s="68"/>
      <c r="N781" s="68"/>
      <c r="O781" s="68"/>
      <c r="P781" s="68"/>
    </row>
    <row r="782">
      <c r="K782" s="68"/>
      <c r="M782" s="68"/>
      <c r="N782" s="68"/>
      <c r="O782" s="68"/>
      <c r="P782" s="68"/>
    </row>
    <row r="783">
      <c r="K783" s="68"/>
      <c r="M783" s="68"/>
      <c r="N783" s="68"/>
      <c r="O783" s="68"/>
      <c r="P783" s="68"/>
    </row>
    <row r="784">
      <c r="K784" s="68"/>
      <c r="M784" s="68"/>
      <c r="N784" s="68"/>
      <c r="O784" s="68"/>
      <c r="P784" s="68"/>
    </row>
    <row r="785">
      <c r="K785" s="68"/>
      <c r="M785" s="68"/>
      <c r="N785" s="68"/>
      <c r="O785" s="68"/>
      <c r="P785" s="68"/>
    </row>
    <row r="786">
      <c r="K786" s="68"/>
      <c r="M786" s="68"/>
      <c r="N786" s="68"/>
      <c r="O786" s="68"/>
      <c r="P786" s="68"/>
    </row>
    <row r="787">
      <c r="K787" s="68"/>
      <c r="M787" s="68"/>
      <c r="N787" s="68"/>
      <c r="O787" s="68"/>
      <c r="P787" s="68"/>
    </row>
    <row r="788">
      <c r="K788" s="68"/>
      <c r="M788" s="68"/>
      <c r="N788" s="68"/>
      <c r="O788" s="68"/>
      <c r="P788" s="68"/>
    </row>
    <row r="789">
      <c r="K789" s="68"/>
      <c r="M789" s="68"/>
      <c r="N789" s="68"/>
      <c r="O789" s="68"/>
      <c r="P789" s="68"/>
    </row>
    <row r="790">
      <c r="K790" s="68"/>
      <c r="M790" s="68"/>
      <c r="N790" s="68"/>
      <c r="O790" s="68"/>
      <c r="P790" s="68"/>
    </row>
    <row r="791">
      <c r="K791" s="68"/>
      <c r="M791" s="68"/>
      <c r="N791" s="68"/>
      <c r="O791" s="68"/>
      <c r="P791" s="68"/>
    </row>
    <row r="792">
      <c r="K792" s="68"/>
      <c r="M792" s="68"/>
      <c r="N792" s="68"/>
      <c r="O792" s="68"/>
      <c r="P792" s="68"/>
    </row>
    <row r="793">
      <c r="K793" s="68"/>
      <c r="M793" s="68"/>
      <c r="N793" s="68"/>
      <c r="O793" s="68"/>
      <c r="P793" s="68"/>
    </row>
    <row r="794">
      <c r="K794" s="68"/>
      <c r="M794" s="68"/>
      <c r="N794" s="68"/>
      <c r="O794" s="68"/>
      <c r="P794" s="68"/>
    </row>
    <row r="795">
      <c r="K795" s="68"/>
      <c r="M795" s="68"/>
      <c r="N795" s="68"/>
      <c r="O795" s="68"/>
      <c r="P795" s="68"/>
    </row>
    <row r="796">
      <c r="K796" s="68"/>
      <c r="M796" s="68"/>
      <c r="N796" s="68"/>
      <c r="O796" s="68"/>
      <c r="P796" s="68"/>
    </row>
    <row r="797">
      <c r="K797" s="68"/>
      <c r="M797" s="68"/>
      <c r="N797" s="68"/>
      <c r="O797" s="68"/>
      <c r="P797" s="68"/>
    </row>
    <row r="798">
      <c r="K798" s="68"/>
      <c r="M798" s="68"/>
      <c r="N798" s="68"/>
      <c r="O798" s="68"/>
      <c r="P798" s="68"/>
    </row>
    <row r="799">
      <c r="K799" s="68"/>
      <c r="M799" s="68"/>
      <c r="N799" s="68"/>
      <c r="O799" s="68"/>
      <c r="P799" s="68"/>
    </row>
    <row r="800">
      <c r="K800" s="68"/>
      <c r="M800" s="68"/>
      <c r="N800" s="68"/>
      <c r="O800" s="68"/>
      <c r="P800" s="68"/>
    </row>
    <row r="801">
      <c r="K801" s="68"/>
      <c r="M801" s="68"/>
      <c r="N801" s="68"/>
      <c r="O801" s="68"/>
      <c r="P801" s="68"/>
    </row>
    <row r="802">
      <c r="K802" s="68"/>
      <c r="M802" s="68"/>
      <c r="N802" s="68"/>
      <c r="O802" s="68"/>
      <c r="P802" s="68"/>
    </row>
    <row r="803">
      <c r="K803" s="68"/>
      <c r="M803" s="68"/>
      <c r="N803" s="68"/>
      <c r="O803" s="68"/>
      <c r="P803" s="68"/>
    </row>
    <row r="804">
      <c r="K804" s="68"/>
      <c r="M804" s="68"/>
      <c r="N804" s="68"/>
      <c r="O804" s="68"/>
      <c r="P804" s="68"/>
    </row>
    <row r="805">
      <c r="K805" s="68"/>
      <c r="M805" s="68"/>
      <c r="N805" s="68"/>
      <c r="O805" s="68"/>
      <c r="P805" s="68"/>
    </row>
    <row r="806">
      <c r="K806" s="68"/>
      <c r="M806" s="68"/>
      <c r="N806" s="68"/>
      <c r="O806" s="68"/>
      <c r="P806" s="68"/>
    </row>
    <row r="807">
      <c r="K807" s="68"/>
      <c r="M807" s="68"/>
      <c r="N807" s="68"/>
      <c r="O807" s="68"/>
      <c r="P807" s="68"/>
    </row>
    <row r="808">
      <c r="K808" s="68"/>
      <c r="M808" s="68"/>
      <c r="N808" s="68"/>
      <c r="O808" s="68"/>
      <c r="P808" s="68"/>
    </row>
    <row r="809">
      <c r="K809" s="68"/>
      <c r="M809" s="68"/>
      <c r="N809" s="68"/>
      <c r="O809" s="68"/>
      <c r="P809" s="68"/>
    </row>
    <row r="810">
      <c r="K810" s="68"/>
      <c r="M810" s="68"/>
      <c r="N810" s="68"/>
      <c r="O810" s="68"/>
      <c r="P810" s="68"/>
    </row>
    <row r="811">
      <c r="K811" s="68"/>
      <c r="M811" s="68"/>
      <c r="N811" s="68"/>
      <c r="O811" s="68"/>
      <c r="P811" s="68"/>
    </row>
    <row r="812">
      <c r="K812" s="68"/>
      <c r="M812" s="68"/>
      <c r="N812" s="68"/>
      <c r="O812" s="68"/>
      <c r="P812" s="68"/>
    </row>
    <row r="813">
      <c r="K813" s="68"/>
      <c r="M813" s="68"/>
      <c r="N813" s="68"/>
      <c r="O813" s="68"/>
      <c r="P813" s="68"/>
    </row>
    <row r="814">
      <c r="K814" s="68"/>
      <c r="M814" s="68"/>
      <c r="N814" s="68"/>
      <c r="O814" s="68"/>
      <c r="P814" s="68"/>
    </row>
    <row r="815">
      <c r="K815" s="68"/>
      <c r="M815" s="68"/>
      <c r="N815" s="68"/>
      <c r="O815" s="68"/>
      <c r="P815" s="68"/>
    </row>
    <row r="816">
      <c r="K816" s="68"/>
      <c r="M816" s="68"/>
      <c r="N816" s="68"/>
      <c r="O816" s="68"/>
      <c r="P816" s="68"/>
    </row>
    <row r="817">
      <c r="K817" s="68"/>
      <c r="M817" s="68"/>
      <c r="N817" s="68"/>
      <c r="O817" s="68"/>
      <c r="P817" s="68"/>
    </row>
    <row r="818">
      <c r="K818" s="68"/>
      <c r="M818" s="68"/>
      <c r="N818" s="68"/>
      <c r="O818" s="68"/>
      <c r="P818" s="68"/>
    </row>
    <row r="819">
      <c r="K819" s="68"/>
      <c r="M819" s="68"/>
      <c r="N819" s="68"/>
      <c r="O819" s="68"/>
      <c r="P819" s="68"/>
    </row>
    <row r="820">
      <c r="K820" s="68"/>
      <c r="M820" s="68"/>
      <c r="N820" s="68"/>
      <c r="O820" s="68"/>
      <c r="P820" s="68"/>
    </row>
    <row r="821">
      <c r="K821" s="68"/>
      <c r="M821" s="68"/>
      <c r="N821" s="68"/>
      <c r="O821" s="68"/>
      <c r="P821" s="68"/>
    </row>
    <row r="822">
      <c r="K822" s="68"/>
      <c r="M822" s="68"/>
      <c r="N822" s="68"/>
      <c r="O822" s="68"/>
      <c r="P822" s="68"/>
    </row>
    <row r="823">
      <c r="K823" s="68"/>
      <c r="M823" s="68"/>
      <c r="N823" s="68"/>
      <c r="O823" s="68"/>
      <c r="P823" s="68"/>
    </row>
    <row r="824">
      <c r="K824" s="68"/>
      <c r="M824" s="68"/>
      <c r="N824" s="68"/>
      <c r="O824" s="68"/>
      <c r="P824" s="68"/>
    </row>
    <row r="825">
      <c r="K825" s="68"/>
      <c r="M825" s="68"/>
      <c r="N825" s="68"/>
      <c r="O825" s="68"/>
      <c r="P825" s="68"/>
    </row>
    <row r="826">
      <c r="K826" s="68"/>
      <c r="M826" s="68"/>
      <c r="N826" s="68"/>
      <c r="O826" s="68"/>
      <c r="P826" s="68"/>
    </row>
    <row r="827">
      <c r="K827" s="68"/>
      <c r="M827" s="68"/>
      <c r="N827" s="68"/>
      <c r="O827" s="68"/>
      <c r="P827" s="68"/>
    </row>
    <row r="828">
      <c r="K828" s="68"/>
      <c r="M828" s="68"/>
      <c r="N828" s="68"/>
      <c r="O828" s="68"/>
      <c r="P828" s="68"/>
    </row>
    <row r="829">
      <c r="K829" s="68"/>
      <c r="M829" s="68"/>
      <c r="N829" s="68"/>
      <c r="O829" s="68"/>
      <c r="P829" s="68"/>
    </row>
    <row r="830">
      <c r="K830" s="68"/>
      <c r="M830" s="68"/>
      <c r="N830" s="68"/>
      <c r="O830" s="68"/>
      <c r="P830" s="68"/>
    </row>
    <row r="831">
      <c r="K831" s="68"/>
      <c r="M831" s="68"/>
      <c r="N831" s="68"/>
      <c r="O831" s="68"/>
      <c r="P831" s="68"/>
    </row>
    <row r="832">
      <c r="K832" s="68"/>
      <c r="M832" s="68"/>
      <c r="N832" s="68"/>
      <c r="O832" s="68"/>
      <c r="P832" s="68"/>
    </row>
    <row r="833">
      <c r="K833" s="68"/>
      <c r="M833" s="68"/>
      <c r="N833" s="68"/>
      <c r="O833" s="68"/>
      <c r="P833" s="68"/>
    </row>
    <row r="834">
      <c r="K834" s="68"/>
      <c r="M834" s="68"/>
      <c r="N834" s="68"/>
      <c r="O834" s="68"/>
      <c r="P834" s="68"/>
    </row>
    <row r="835">
      <c r="K835" s="68"/>
      <c r="M835" s="68"/>
      <c r="N835" s="68"/>
      <c r="O835" s="68"/>
      <c r="P835" s="68"/>
    </row>
    <row r="836">
      <c r="K836" s="68"/>
      <c r="M836" s="68"/>
      <c r="N836" s="68"/>
      <c r="O836" s="68"/>
      <c r="P836" s="68"/>
    </row>
    <row r="837">
      <c r="K837" s="68"/>
      <c r="M837" s="68"/>
      <c r="N837" s="68"/>
      <c r="O837" s="68"/>
      <c r="P837" s="68"/>
    </row>
    <row r="838">
      <c r="K838" s="68"/>
      <c r="M838" s="68"/>
      <c r="N838" s="68"/>
      <c r="O838" s="68"/>
      <c r="P838" s="68"/>
    </row>
    <row r="839">
      <c r="K839" s="68"/>
      <c r="M839" s="68"/>
      <c r="N839" s="68"/>
      <c r="O839" s="68"/>
      <c r="P839" s="68"/>
    </row>
    <row r="840">
      <c r="K840" s="68"/>
      <c r="M840" s="68"/>
      <c r="N840" s="68"/>
      <c r="O840" s="68"/>
      <c r="P840" s="68"/>
    </row>
    <row r="841">
      <c r="K841" s="68"/>
      <c r="M841" s="68"/>
      <c r="N841" s="68"/>
      <c r="O841" s="68"/>
      <c r="P841" s="68"/>
    </row>
    <row r="842">
      <c r="K842" s="68"/>
      <c r="M842" s="68"/>
      <c r="N842" s="68"/>
      <c r="O842" s="68"/>
      <c r="P842" s="68"/>
    </row>
    <row r="843">
      <c r="K843" s="68"/>
      <c r="M843" s="68"/>
      <c r="N843" s="68"/>
      <c r="O843" s="68"/>
      <c r="P843" s="68"/>
    </row>
    <row r="844">
      <c r="K844" s="68"/>
      <c r="M844" s="68"/>
      <c r="N844" s="68"/>
      <c r="O844" s="68"/>
      <c r="P844" s="68"/>
    </row>
    <row r="845">
      <c r="K845" s="68"/>
      <c r="M845" s="68"/>
      <c r="N845" s="68"/>
      <c r="O845" s="68"/>
      <c r="P845" s="68"/>
    </row>
    <row r="846">
      <c r="K846" s="68"/>
      <c r="M846" s="68"/>
      <c r="N846" s="68"/>
      <c r="O846" s="68"/>
      <c r="P846" s="68"/>
    </row>
    <row r="847">
      <c r="K847" s="68"/>
      <c r="M847" s="68"/>
      <c r="N847" s="68"/>
      <c r="O847" s="68"/>
      <c r="P847" s="68"/>
    </row>
    <row r="848">
      <c r="K848" s="68"/>
      <c r="M848" s="68"/>
      <c r="N848" s="68"/>
      <c r="O848" s="68"/>
      <c r="P848" s="68"/>
    </row>
    <row r="849">
      <c r="K849" s="68"/>
      <c r="M849" s="68"/>
      <c r="N849" s="68"/>
      <c r="O849" s="68"/>
      <c r="P849" s="68"/>
    </row>
    <row r="850">
      <c r="K850" s="68"/>
      <c r="M850" s="68"/>
      <c r="N850" s="68"/>
      <c r="O850" s="68"/>
      <c r="P850" s="68"/>
    </row>
    <row r="851">
      <c r="K851" s="68"/>
      <c r="M851" s="68"/>
      <c r="N851" s="68"/>
      <c r="O851" s="68"/>
      <c r="P851" s="68"/>
    </row>
    <row r="852">
      <c r="K852" s="68"/>
      <c r="M852" s="68"/>
      <c r="N852" s="68"/>
      <c r="O852" s="68"/>
      <c r="P852" s="68"/>
    </row>
    <row r="853">
      <c r="K853" s="68"/>
      <c r="M853" s="68"/>
      <c r="N853" s="68"/>
      <c r="O853" s="68"/>
      <c r="P853" s="68"/>
    </row>
    <row r="854">
      <c r="K854" s="68"/>
      <c r="M854" s="68"/>
      <c r="N854" s="68"/>
      <c r="O854" s="68"/>
      <c r="P854" s="68"/>
    </row>
    <row r="855">
      <c r="K855" s="68"/>
      <c r="M855" s="68"/>
      <c r="N855" s="68"/>
      <c r="O855" s="68"/>
      <c r="P855" s="68"/>
    </row>
    <row r="856">
      <c r="K856" s="68"/>
      <c r="M856" s="68"/>
      <c r="N856" s="68"/>
      <c r="O856" s="68"/>
      <c r="P856" s="68"/>
    </row>
    <row r="857">
      <c r="K857" s="68"/>
      <c r="M857" s="68"/>
      <c r="N857" s="68"/>
      <c r="O857" s="68"/>
      <c r="P857" s="68"/>
    </row>
    <row r="858">
      <c r="K858" s="68"/>
      <c r="M858" s="68"/>
      <c r="N858" s="68"/>
      <c r="O858" s="68"/>
      <c r="P858" s="68"/>
    </row>
    <row r="859">
      <c r="K859" s="68"/>
      <c r="M859" s="68"/>
      <c r="N859" s="68"/>
      <c r="O859" s="68"/>
      <c r="P859" s="68"/>
    </row>
    <row r="860">
      <c r="K860" s="68"/>
      <c r="M860" s="68"/>
      <c r="N860" s="68"/>
      <c r="O860" s="68"/>
      <c r="P860" s="68"/>
    </row>
    <row r="861">
      <c r="K861" s="68"/>
      <c r="M861" s="68"/>
      <c r="N861" s="68"/>
      <c r="O861" s="68"/>
      <c r="P861" s="68"/>
    </row>
    <row r="862">
      <c r="K862" s="68"/>
      <c r="M862" s="68"/>
      <c r="N862" s="68"/>
      <c r="O862" s="68"/>
      <c r="P862" s="68"/>
    </row>
    <row r="863">
      <c r="K863" s="68"/>
      <c r="M863" s="68"/>
      <c r="N863" s="68"/>
      <c r="O863" s="68"/>
      <c r="P863" s="68"/>
    </row>
    <row r="864">
      <c r="K864" s="68"/>
      <c r="M864" s="68"/>
      <c r="N864" s="68"/>
      <c r="O864" s="68"/>
      <c r="P864" s="68"/>
    </row>
    <row r="865">
      <c r="K865" s="68"/>
      <c r="M865" s="68"/>
      <c r="N865" s="68"/>
      <c r="O865" s="68"/>
      <c r="P865" s="68"/>
    </row>
    <row r="866">
      <c r="K866" s="68"/>
      <c r="M866" s="68"/>
      <c r="N866" s="68"/>
      <c r="O866" s="68"/>
      <c r="P866" s="68"/>
    </row>
    <row r="867">
      <c r="K867" s="68"/>
      <c r="M867" s="68"/>
      <c r="N867" s="68"/>
      <c r="O867" s="68"/>
      <c r="P867" s="68"/>
    </row>
    <row r="868">
      <c r="K868" s="68"/>
      <c r="M868" s="68"/>
      <c r="N868" s="68"/>
      <c r="O868" s="68"/>
      <c r="P868" s="68"/>
    </row>
    <row r="869">
      <c r="K869" s="68"/>
      <c r="M869" s="68"/>
      <c r="N869" s="68"/>
      <c r="O869" s="68"/>
      <c r="P869" s="68"/>
    </row>
    <row r="870">
      <c r="K870" s="68"/>
      <c r="M870" s="68"/>
      <c r="N870" s="68"/>
      <c r="O870" s="68"/>
      <c r="P870" s="68"/>
    </row>
    <row r="871">
      <c r="K871" s="68"/>
      <c r="M871" s="68"/>
      <c r="N871" s="68"/>
      <c r="O871" s="68"/>
      <c r="P871" s="68"/>
    </row>
    <row r="872">
      <c r="K872" s="68"/>
      <c r="M872" s="68"/>
      <c r="N872" s="68"/>
      <c r="O872" s="68"/>
      <c r="P872" s="68"/>
    </row>
    <row r="873">
      <c r="K873" s="68"/>
      <c r="M873" s="68"/>
      <c r="N873" s="68"/>
      <c r="O873" s="68"/>
      <c r="P873" s="68"/>
    </row>
    <row r="874">
      <c r="K874" s="68"/>
      <c r="M874" s="68"/>
      <c r="N874" s="68"/>
      <c r="O874" s="68"/>
      <c r="P874" s="68"/>
    </row>
    <row r="875">
      <c r="K875" s="68"/>
      <c r="M875" s="68"/>
      <c r="N875" s="68"/>
      <c r="O875" s="68"/>
      <c r="P875" s="68"/>
    </row>
    <row r="876">
      <c r="K876" s="68"/>
      <c r="M876" s="68"/>
      <c r="N876" s="68"/>
      <c r="O876" s="68"/>
      <c r="P876" s="68"/>
    </row>
    <row r="877">
      <c r="K877" s="68"/>
      <c r="M877" s="68"/>
      <c r="N877" s="68"/>
      <c r="O877" s="68"/>
      <c r="P877" s="68"/>
    </row>
    <row r="878">
      <c r="K878" s="68"/>
      <c r="M878" s="68"/>
      <c r="N878" s="68"/>
      <c r="O878" s="68"/>
      <c r="P878" s="68"/>
    </row>
    <row r="879">
      <c r="K879" s="68"/>
      <c r="M879" s="68"/>
      <c r="N879" s="68"/>
      <c r="O879" s="68"/>
      <c r="P879" s="68"/>
    </row>
    <row r="880">
      <c r="K880" s="68"/>
      <c r="M880" s="68"/>
      <c r="N880" s="68"/>
      <c r="O880" s="68"/>
      <c r="P880" s="68"/>
    </row>
    <row r="881">
      <c r="K881" s="68"/>
      <c r="M881" s="68"/>
      <c r="N881" s="68"/>
      <c r="O881" s="68"/>
      <c r="P881" s="68"/>
    </row>
    <row r="882">
      <c r="K882" s="68"/>
      <c r="M882" s="68"/>
      <c r="N882" s="68"/>
      <c r="O882" s="68"/>
      <c r="P882" s="68"/>
    </row>
    <row r="883">
      <c r="K883" s="68"/>
      <c r="M883" s="68"/>
      <c r="N883" s="68"/>
      <c r="O883" s="68"/>
      <c r="P883" s="68"/>
    </row>
    <row r="884">
      <c r="K884" s="68"/>
      <c r="M884" s="68"/>
      <c r="N884" s="68"/>
      <c r="O884" s="68"/>
      <c r="P884" s="68"/>
    </row>
    <row r="885">
      <c r="K885" s="68"/>
      <c r="M885" s="68"/>
      <c r="N885" s="68"/>
      <c r="O885" s="68"/>
      <c r="P885" s="68"/>
    </row>
    <row r="886">
      <c r="K886" s="68"/>
      <c r="M886" s="68"/>
      <c r="N886" s="68"/>
      <c r="O886" s="68"/>
      <c r="P886" s="68"/>
    </row>
    <row r="887">
      <c r="K887" s="68"/>
      <c r="M887" s="68"/>
      <c r="N887" s="68"/>
      <c r="O887" s="68"/>
      <c r="P887" s="68"/>
    </row>
    <row r="888">
      <c r="K888" s="68"/>
      <c r="M888" s="68"/>
      <c r="N888" s="68"/>
      <c r="O888" s="68"/>
      <c r="P888" s="68"/>
    </row>
    <row r="889">
      <c r="K889" s="68"/>
      <c r="M889" s="68"/>
      <c r="N889" s="68"/>
      <c r="O889" s="68"/>
      <c r="P889" s="68"/>
    </row>
    <row r="890">
      <c r="K890" s="68"/>
      <c r="M890" s="68"/>
      <c r="N890" s="68"/>
      <c r="O890" s="68"/>
      <c r="P890" s="68"/>
    </row>
    <row r="891">
      <c r="K891" s="68"/>
      <c r="M891" s="68"/>
      <c r="N891" s="68"/>
      <c r="O891" s="68"/>
      <c r="P891" s="68"/>
    </row>
    <row r="892">
      <c r="K892" s="68"/>
      <c r="M892" s="68"/>
      <c r="N892" s="68"/>
      <c r="O892" s="68"/>
      <c r="P892" s="68"/>
    </row>
    <row r="893">
      <c r="K893" s="68"/>
      <c r="M893" s="68"/>
      <c r="N893" s="68"/>
      <c r="O893" s="68"/>
      <c r="P893" s="68"/>
    </row>
    <row r="894">
      <c r="K894" s="68"/>
      <c r="M894" s="68"/>
      <c r="N894" s="68"/>
      <c r="O894" s="68"/>
      <c r="P894" s="68"/>
    </row>
    <row r="895">
      <c r="K895" s="68"/>
      <c r="M895" s="68"/>
      <c r="N895" s="68"/>
      <c r="O895" s="68"/>
      <c r="P895" s="68"/>
    </row>
    <row r="896">
      <c r="K896" s="68"/>
      <c r="M896" s="68"/>
      <c r="N896" s="68"/>
      <c r="O896" s="68"/>
      <c r="P896" s="68"/>
    </row>
    <row r="897">
      <c r="K897" s="68"/>
      <c r="M897" s="68"/>
      <c r="N897" s="68"/>
      <c r="O897" s="68"/>
      <c r="P897" s="68"/>
    </row>
    <row r="898">
      <c r="K898" s="68"/>
      <c r="M898" s="68"/>
      <c r="N898" s="68"/>
      <c r="O898" s="68"/>
      <c r="P898" s="68"/>
    </row>
    <row r="899">
      <c r="K899" s="68"/>
      <c r="M899" s="68"/>
      <c r="N899" s="68"/>
      <c r="O899" s="68"/>
      <c r="P899" s="68"/>
    </row>
    <row r="900">
      <c r="K900" s="68"/>
      <c r="M900" s="68"/>
      <c r="N900" s="68"/>
      <c r="O900" s="68"/>
      <c r="P900" s="68"/>
    </row>
    <row r="901">
      <c r="K901" s="68"/>
      <c r="M901" s="68"/>
      <c r="N901" s="68"/>
      <c r="O901" s="68"/>
      <c r="P901" s="68"/>
    </row>
    <row r="902">
      <c r="K902" s="68"/>
      <c r="M902" s="68"/>
      <c r="N902" s="68"/>
      <c r="O902" s="68"/>
      <c r="P902" s="68"/>
    </row>
    <row r="903">
      <c r="K903" s="68"/>
      <c r="M903" s="68"/>
      <c r="N903" s="68"/>
      <c r="O903" s="68"/>
      <c r="P903" s="68"/>
    </row>
    <row r="904">
      <c r="K904" s="68"/>
      <c r="M904" s="68"/>
      <c r="N904" s="68"/>
      <c r="O904" s="68"/>
      <c r="P904" s="68"/>
    </row>
    <row r="905">
      <c r="K905" s="68"/>
      <c r="M905" s="68"/>
      <c r="N905" s="68"/>
      <c r="O905" s="68"/>
      <c r="P905" s="68"/>
    </row>
    <row r="906">
      <c r="K906" s="68"/>
      <c r="M906" s="68"/>
      <c r="N906" s="68"/>
      <c r="O906" s="68"/>
      <c r="P906" s="68"/>
    </row>
    <row r="907">
      <c r="K907" s="68"/>
      <c r="M907" s="68"/>
      <c r="N907" s="68"/>
      <c r="O907" s="68"/>
      <c r="P907" s="68"/>
    </row>
    <row r="908">
      <c r="K908" s="68"/>
      <c r="M908" s="68"/>
      <c r="N908" s="68"/>
      <c r="O908" s="68"/>
      <c r="P908" s="68"/>
    </row>
    <row r="909">
      <c r="K909" s="68"/>
      <c r="M909" s="68"/>
      <c r="N909" s="68"/>
      <c r="O909" s="68"/>
      <c r="P909" s="68"/>
    </row>
    <row r="910">
      <c r="K910" s="68"/>
      <c r="M910" s="68"/>
      <c r="N910" s="68"/>
      <c r="O910" s="68"/>
      <c r="P910" s="68"/>
    </row>
    <row r="911">
      <c r="K911" s="68"/>
      <c r="M911" s="68"/>
      <c r="N911" s="68"/>
      <c r="O911" s="68"/>
      <c r="P911" s="68"/>
    </row>
    <row r="912">
      <c r="K912" s="68"/>
      <c r="M912" s="68"/>
      <c r="N912" s="68"/>
      <c r="O912" s="68"/>
      <c r="P912" s="68"/>
    </row>
    <row r="913">
      <c r="K913" s="68"/>
      <c r="M913" s="68"/>
      <c r="N913" s="68"/>
      <c r="O913" s="68"/>
      <c r="P913" s="68"/>
    </row>
    <row r="914">
      <c r="K914" s="68"/>
      <c r="M914" s="68"/>
      <c r="N914" s="68"/>
      <c r="O914" s="68"/>
      <c r="P914" s="68"/>
    </row>
    <row r="915">
      <c r="K915" s="68"/>
      <c r="M915" s="68"/>
      <c r="N915" s="68"/>
      <c r="O915" s="68"/>
      <c r="P915" s="68"/>
    </row>
    <row r="916">
      <c r="K916" s="68"/>
      <c r="M916" s="68"/>
      <c r="N916" s="68"/>
      <c r="O916" s="68"/>
      <c r="P916" s="68"/>
    </row>
    <row r="917">
      <c r="K917" s="68"/>
      <c r="M917" s="68"/>
      <c r="N917" s="68"/>
      <c r="O917" s="68"/>
      <c r="P917" s="68"/>
    </row>
    <row r="918">
      <c r="K918" s="68"/>
      <c r="M918" s="68"/>
      <c r="N918" s="68"/>
      <c r="O918" s="68"/>
      <c r="P918" s="68"/>
    </row>
    <row r="919">
      <c r="K919" s="68"/>
      <c r="M919" s="68"/>
      <c r="N919" s="68"/>
      <c r="O919" s="68"/>
      <c r="P919" s="68"/>
    </row>
    <row r="920">
      <c r="K920" s="68"/>
      <c r="M920" s="68"/>
      <c r="N920" s="68"/>
      <c r="O920" s="68"/>
      <c r="P920" s="68"/>
    </row>
    <row r="921">
      <c r="K921" s="68"/>
      <c r="M921" s="68"/>
      <c r="N921" s="68"/>
      <c r="O921" s="68"/>
      <c r="P921" s="68"/>
    </row>
    <row r="922">
      <c r="K922" s="68"/>
      <c r="M922" s="68"/>
      <c r="N922" s="68"/>
      <c r="O922" s="68"/>
      <c r="P922" s="68"/>
    </row>
    <row r="923">
      <c r="K923" s="68"/>
      <c r="M923" s="68"/>
      <c r="N923" s="68"/>
      <c r="O923" s="68"/>
      <c r="P923" s="68"/>
    </row>
    <row r="924">
      <c r="K924" s="68"/>
      <c r="M924" s="68"/>
      <c r="N924" s="68"/>
      <c r="O924" s="68"/>
      <c r="P924" s="68"/>
    </row>
    <row r="925">
      <c r="K925" s="68"/>
      <c r="M925" s="68"/>
      <c r="N925" s="68"/>
      <c r="O925" s="68"/>
      <c r="P925" s="68"/>
    </row>
    <row r="926">
      <c r="K926" s="68"/>
      <c r="M926" s="68"/>
      <c r="N926" s="68"/>
      <c r="O926" s="68"/>
      <c r="P926" s="68"/>
    </row>
    <row r="927">
      <c r="K927" s="68"/>
      <c r="M927" s="68"/>
      <c r="N927" s="68"/>
      <c r="O927" s="68"/>
      <c r="P927" s="68"/>
    </row>
    <row r="928">
      <c r="K928" s="68"/>
      <c r="M928" s="68"/>
      <c r="N928" s="68"/>
      <c r="O928" s="68"/>
      <c r="P928" s="68"/>
    </row>
    <row r="929">
      <c r="K929" s="68"/>
      <c r="M929" s="68"/>
      <c r="N929" s="68"/>
      <c r="O929" s="68"/>
      <c r="P929" s="68"/>
    </row>
    <row r="930">
      <c r="K930" s="68"/>
      <c r="M930" s="68"/>
      <c r="N930" s="68"/>
      <c r="O930" s="68"/>
      <c r="P930" s="68"/>
    </row>
    <row r="931">
      <c r="K931" s="68"/>
      <c r="M931" s="68"/>
      <c r="N931" s="68"/>
      <c r="O931" s="68"/>
      <c r="P931" s="68"/>
    </row>
    <row r="932">
      <c r="K932" s="68"/>
      <c r="M932" s="68"/>
      <c r="N932" s="68"/>
      <c r="O932" s="68"/>
      <c r="P932" s="68"/>
    </row>
    <row r="933">
      <c r="K933" s="68"/>
      <c r="M933" s="68"/>
      <c r="N933" s="68"/>
      <c r="O933" s="68"/>
      <c r="P933" s="68"/>
    </row>
    <row r="934">
      <c r="K934" s="68"/>
      <c r="M934" s="68"/>
      <c r="N934" s="68"/>
      <c r="O934" s="68"/>
      <c r="P934" s="68"/>
    </row>
    <row r="935">
      <c r="K935" s="68"/>
      <c r="M935" s="68"/>
      <c r="N935" s="68"/>
      <c r="O935" s="68"/>
      <c r="P935" s="68"/>
    </row>
    <row r="936">
      <c r="K936" s="68"/>
      <c r="M936" s="68"/>
      <c r="N936" s="68"/>
      <c r="O936" s="68"/>
      <c r="P936" s="68"/>
    </row>
    <row r="937">
      <c r="K937" s="68"/>
      <c r="M937" s="68"/>
      <c r="N937" s="68"/>
      <c r="O937" s="68"/>
      <c r="P937" s="68"/>
    </row>
    <row r="938">
      <c r="K938" s="68"/>
      <c r="M938" s="68"/>
      <c r="N938" s="68"/>
      <c r="O938" s="68"/>
      <c r="P938" s="68"/>
    </row>
    <row r="939">
      <c r="K939" s="68"/>
      <c r="M939" s="68"/>
      <c r="N939" s="68"/>
      <c r="O939" s="68"/>
      <c r="P939" s="68"/>
    </row>
    <row r="940">
      <c r="K940" s="68"/>
      <c r="M940" s="68"/>
      <c r="N940" s="68"/>
      <c r="O940" s="68"/>
      <c r="P940" s="68"/>
    </row>
    <row r="941">
      <c r="K941" s="68"/>
      <c r="M941" s="68"/>
      <c r="N941" s="68"/>
      <c r="O941" s="68"/>
      <c r="P941" s="68"/>
    </row>
    <row r="942">
      <c r="K942" s="68"/>
      <c r="M942" s="68"/>
      <c r="N942" s="68"/>
      <c r="O942" s="68"/>
      <c r="P942" s="68"/>
    </row>
    <row r="943">
      <c r="K943" s="68"/>
      <c r="M943" s="68"/>
      <c r="N943" s="68"/>
      <c r="O943" s="68"/>
      <c r="P943" s="68"/>
    </row>
    <row r="944">
      <c r="K944" s="68"/>
      <c r="M944" s="68"/>
      <c r="N944" s="68"/>
      <c r="O944" s="68"/>
      <c r="P944" s="68"/>
    </row>
    <row r="945">
      <c r="K945" s="68"/>
      <c r="M945" s="68"/>
      <c r="N945" s="68"/>
      <c r="O945" s="68"/>
      <c r="P945" s="68"/>
    </row>
    <row r="946">
      <c r="K946" s="68"/>
      <c r="M946" s="68"/>
      <c r="N946" s="68"/>
      <c r="O946" s="68"/>
      <c r="P946" s="68"/>
    </row>
    <row r="947">
      <c r="K947" s="68"/>
      <c r="M947" s="68"/>
      <c r="N947" s="68"/>
      <c r="O947" s="68"/>
      <c r="P947" s="68"/>
    </row>
    <row r="948">
      <c r="K948" s="68"/>
      <c r="M948" s="68"/>
      <c r="N948" s="68"/>
      <c r="O948" s="68"/>
      <c r="P948" s="68"/>
    </row>
    <row r="949">
      <c r="K949" s="68"/>
      <c r="M949" s="68"/>
      <c r="N949" s="68"/>
      <c r="O949" s="68"/>
      <c r="P949" s="68"/>
    </row>
    <row r="950">
      <c r="K950" s="68"/>
      <c r="M950" s="68"/>
      <c r="N950" s="68"/>
      <c r="O950" s="68"/>
      <c r="P950" s="68"/>
    </row>
    <row r="951">
      <c r="K951" s="68"/>
      <c r="M951" s="68"/>
      <c r="N951" s="68"/>
      <c r="O951" s="68"/>
      <c r="P951" s="68"/>
    </row>
    <row r="952">
      <c r="K952" s="68"/>
      <c r="M952" s="68"/>
      <c r="N952" s="68"/>
      <c r="O952" s="68"/>
      <c r="P952" s="68"/>
    </row>
    <row r="953">
      <c r="K953" s="68"/>
      <c r="M953" s="68"/>
      <c r="N953" s="68"/>
      <c r="O953" s="68"/>
      <c r="P953" s="68"/>
    </row>
    <row r="954">
      <c r="K954" s="68"/>
      <c r="M954" s="68"/>
      <c r="N954" s="68"/>
      <c r="O954" s="68"/>
      <c r="P954" s="68"/>
    </row>
    <row r="955">
      <c r="K955" s="68"/>
      <c r="M955" s="68"/>
      <c r="N955" s="68"/>
      <c r="O955" s="68"/>
      <c r="P955" s="68"/>
    </row>
    <row r="956">
      <c r="K956" s="68"/>
      <c r="M956" s="68"/>
      <c r="N956" s="68"/>
      <c r="O956" s="68"/>
      <c r="P956" s="68"/>
    </row>
    <row r="957">
      <c r="K957" s="68"/>
      <c r="M957" s="68"/>
      <c r="N957" s="68"/>
      <c r="O957" s="68"/>
      <c r="P957" s="68"/>
    </row>
    <row r="958">
      <c r="K958" s="68"/>
      <c r="M958" s="68"/>
      <c r="N958" s="68"/>
      <c r="O958" s="68"/>
      <c r="P958" s="68"/>
    </row>
    <row r="959">
      <c r="K959" s="68"/>
      <c r="M959" s="68"/>
      <c r="N959" s="68"/>
      <c r="O959" s="68"/>
      <c r="P959" s="68"/>
    </row>
    <row r="960">
      <c r="K960" s="68"/>
      <c r="M960" s="68"/>
      <c r="N960" s="68"/>
      <c r="O960" s="68"/>
      <c r="P960" s="68"/>
    </row>
    <row r="961">
      <c r="K961" s="68"/>
      <c r="M961" s="68"/>
      <c r="N961" s="68"/>
      <c r="O961" s="68"/>
      <c r="P961" s="68"/>
    </row>
    <row r="962">
      <c r="K962" s="68"/>
      <c r="M962" s="68"/>
      <c r="N962" s="68"/>
      <c r="O962" s="68"/>
      <c r="P962" s="68"/>
    </row>
    <row r="963">
      <c r="K963" s="68"/>
      <c r="M963" s="68"/>
      <c r="N963" s="68"/>
      <c r="O963" s="68"/>
      <c r="P963" s="68"/>
    </row>
    <row r="964">
      <c r="K964" s="68"/>
      <c r="M964" s="68"/>
      <c r="N964" s="68"/>
      <c r="O964" s="68"/>
      <c r="P964" s="68"/>
    </row>
    <row r="965">
      <c r="K965" s="68"/>
      <c r="M965" s="68"/>
      <c r="N965" s="68"/>
      <c r="O965" s="68"/>
      <c r="P965" s="68"/>
    </row>
    <row r="966">
      <c r="K966" s="68"/>
      <c r="M966" s="68"/>
      <c r="N966" s="68"/>
      <c r="O966" s="68"/>
      <c r="P966" s="68"/>
    </row>
    <row r="967">
      <c r="K967" s="68"/>
      <c r="M967" s="68"/>
      <c r="N967" s="68"/>
      <c r="O967" s="68"/>
      <c r="P967" s="68"/>
    </row>
    <row r="968">
      <c r="K968" s="68"/>
      <c r="M968" s="68"/>
      <c r="N968" s="68"/>
      <c r="O968" s="68"/>
      <c r="P968" s="68"/>
    </row>
    <row r="969">
      <c r="K969" s="68"/>
      <c r="M969" s="68"/>
      <c r="N969" s="68"/>
      <c r="O969" s="68"/>
      <c r="P969" s="68"/>
    </row>
    <row r="970">
      <c r="K970" s="68"/>
      <c r="M970" s="68"/>
      <c r="N970" s="68"/>
      <c r="O970" s="68"/>
      <c r="P970" s="68"/>
    </row>
    <row r="971">
      <c r="K971" s="68"/>
      <c r="M971" s="68"/>
      <c r="N971" s="68"/>
      <c r="O971" s="68"/>
      <c r="P971" s="68"/>
    </row>
    <row r="972">
      <c r="K972" s="68"/>
      <c r="M972" s="68"/>
      <c r="N972" s="68"/>
      <c r="O972" s="68"/>
      <c r="P972" s="68"/>
    </row>
    <row r="973">
      <c r="K973" s="68"/>
      <c r="M973" s="68"/>
      <c r="N973" s="68"/>
      <c r="O973" s="68"/>
      <c r="P973" s="68"/>
    </row>
    <row r="974">
      <c r="K974" s="68"/>
      <c r="M974" s="68"/>
      <c r="N974" s="68"/>
      <c r="O974" s="68"/>
      <c r="P974" s="68"/>
    </row>
    <row r="975">
      <c r="K975" s="68"/>
      <c r="M975" s="68"/>
      <c r="N975" s="68"/>
      <c r="O975" s="68"/>
      <c r="P975" s="68"/>
    </row>
    <row r="976">
      <c r="K976" s="68"/>
      <c r="M976" s="68"/>
      <c r="N976" s="68"/>
      <c r="O976" s="68"/>
      <c r="P976" s="68"/>
    </row>
    <row r="977">
      <c r="K977" s="68"/>
      <c r="M977" s="68"/>
      <c r="N977" s="68"/>
      <c r="O977" s="68"/>
      <c r="P977" s="68"/>
    </row>
    <row r="978">
      <c r="K978" s="68"/>
      <c r="M978" s="68"/>
      <c r="N978" s="68"/>
      <c r="O978" s="68"/>
      <c r="P978" s="68"/>
    </row>
    <row r="979">
      <c r="K979" s="68"/>
      <c r="M979" s="68"/>
      <c r="N979" s="68"/>
      <c r="O979" s="68"/>
      <c r="P979" s="68"/>
    </row>
    <row r="980">
      <c r="K980" s="68"/>
      <c r="M980" s="68"/>
      <c r="N980" s="68"/>
      <c r="O980" s="68"/>
      <c r="P980" s="68"/>
    </row>
    <row r="981">
      <c r="K981" s="68"/>
      <c r="M981" s="68"/>
      <c r="N981" s="68"/>
      <c r="O981" s="68"/>
      <c r="P981" s="68"/>
    </row>
    <row r="982">
      <c r="K982" s="68"/>
      <c r="M982" s="68"/>
      <c r="N982" s="68"/>
      <c r="O982" s="68"/>
      <c r="P982" s="68"/>
    </row>
    <row r="983">
      <c r="K983" s="68"/>
      <c r="M983" s="68"/>
      <c r="N983" s="68"/>
      <c r="O983" s="68"/>
      <c r="P983" s="68"/>
    </row>
    <row r="984">
      <c r="K984" s="68"/>
      <c r="M984" s="68"/>
      <c r="N984" s="68"/>
      <c r="O984" s="68"/>
      <c r="P984" s="68"/>
    </row>
    <row r="985">
      <c r="K985" s="68"/>
      <c r="M985" s="68"/>
      <c r="N985" s="68"/>
      <c r="O985" s="68"/>
      <c r="P985" s="68"/>
    </row>
    <row r="986">
      <c r="K986" s="68"/>
      <c r="M986" s="68"/>
      <c r="N986" s="68"/>
      <c r="O986" s="68"/>
      <c r="P986" s="68"/>
    </row>
    <row r="987">
      <c r="K987" s="68"/>
      <c r="M987" s="68"/>
      <c r="N987" s="68"/>
      <c r="O987" s="68"/>
      <c r="P987" s="68"/>
    </row>
    <row r="988">
      <c r="K988" s="68"/>
      <c r="M988" s="68"/>
      <c r="N988" s="68"/>
      <c r="O988" s="68"/>
      <c r="P988" s="68"/>
    </row>
    <row r="989">
      <c r="K989" s="68"/>
      <c r="M989" s="68"/>
      <c r="N989" s="68"/>
      <c r="O989" s="68"/>
      <c r="P989" s="68"/>
    </row>
    <row r="990">
      <c r="K990" s="68"/>
      <c r="M990" s="68"/>
      <c r="N990" s="68"/>
      <c r="O990" s="68"/>
      <c r="P990" s="68"/>
    </row>
    <row r="991">
      <c r="K991" s="68"/>
      <c r="M991" s="68"/>
      <c r="N991" s="68"/>
      <c r="O991" s="68"/>
      <c r="P991" s="68"/>
    </row>
    <row r="992">
      <c r="K992" s="68"/>
      <c r="M992" s="68"/>
      <c r="N992" s="68"/>
      <c r="O992" s="68"/>
      <c r="P992" s="68"/>
    </row>
    <row r="993">
      <c r="K993" s="68"/>
      <c r="M993" s="68"/>
      <c r="N993" s="68"/>
      <c r="O993" s="68"/>
      <c r="P993" s="68"/>
    </row>
    <row r="994">
      <c r="K994" s="68"/>
      <c r="M994" s="68"/>
      <c r="N994" s="68"/>
      <c r="O994" s="68"/>
      <c r="P994" s="68"/>
    </row>
    <row r="995">
      <c r="K995" s="68"/>
      <c r="M995" s="68"/>
      <c r="N995" s="68"/>
      <c r="O995" s="68"/>
      <c r="P995" s="68"/>
    </row>
    <row r="996">
      <c r="K996" s="68"/>
      <c r="M996" s="68"/>
      <c r="N996" s="68"/>
      <c r="O996" s="68"/>
      <c r="P996" s="68"/>
    </row>
    <row r="997">
      <c r="K997" s="68"/>
      <c r="M997" s="68"/>
      <c r="N997" s="68"/>
      <c r="O997" s="68"/>
      <c r="P997" s="68"/>
    </row>
    <row r="998">
      <c r="K998" s="68"/>
      <c r="M998" s="68"/>
      <c r="N998" s="68"/>
      <c r="O998" s="68"/>
      <c r="P998" s="68"/>
    </row>
    <row r="999">
      <c r="K999" s="68"/>
      <c r="M999" s="68"/>
      <c r="N999" s="68"/>
      <c r="O999" s="68"/>
      <c r="P999" s="68"/>
    </row>
    <row r="1000">
      <c r="K1000" s="22" t="s">
        <v>345</v>
      </c>
      <c r="M1000" s="68"/>
      <c r="N1000" s="68"/>
      <c r="O1000" s="68"/>
      <c r="P1000" s="6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26.63"/>
    <col customWidth="1" min="5" max="5" width="17.75"/>
    <col customWidth="1" min="12" max="12" width="14.25"/>
    <col customWidth="1" min="13" max="13" width="38.75"/>
  </cols>
  <sheetData>
    <row r="1">
      <c r="A1" s="2" t="s">
        <v>1</v>
      </c>
      <c r="B1" s="1"/>
      <c r="D1" s="3" t="s">
        <v>2</v>
      </c>
      <c r="E1" s="3" t="s">
        <v>3</v>
      </c>
      <c r="F1" s="3" t="s">
        <v>5</v>
      </c>
      <c r="G1" s="3" t="s">
        <v>6</v>
      </c>
      <c r="H1" s="3" t="s">
        <v>7</v>
      </c>
      <c r="I1" s="6" t="s">
        <v>9</v>
      </c>
      <c r="K1" s="10" t="s">
        <v>218</v>
      </c>
      <c r="L1" s="10"/>
      <c r="M1" s="10"/>
      <c r="N1" s="10"/>
      <c r="O1" s="10"/>
      <c r="P1" s="10"/>
      <c r="Q1" s="10"/>
      <c r="R1" s="10"/>
      <c r="S1" s="10"/>
    </row>
    <row r="2">
      <c r="A2" s="1" t="s">
        <v>21</v>
      </c>
      <c r="B2" s="2" t="s">
        <v>22</v>
      </c>
      <c r="D2" s="44">
        <v>45792.0</v>
      </c>
      <c r="E2" s="45" t="s">
        <v>229</v>
      </c>
      <c r="F2" s="44">
        <v>45782.0</v>
      </c>
      <c r="G2" s="44">
        <v>45782.0</v>
      </c>
      <c r="H2" s="46">
        <v>45308.0</v>
      </c>
      <c r="I2" s="44">
        <v>45782.0</v>
      </c>
      <c r="K2" s="6" t="s">
        <v>8</v>
      </c>
      <c r="L2" s="6" t="s">
        <v>24</v>
      </c>
      <c r="M2" s="6" t="s">
        <v>25</v>
      </c>
      <c r="N2" s="6" t="s">
        <v>27</v>
      </c>
      <c r="O2" s="6" t="s">
        <v>28</v>
      </c>
      <c r="P2" s="6" t="s">
        <v>30</v>
      </c>
      <c r="Q2" s="6" t="s">
        <v>36</v>
      </c>
      <c r="R2" s="6" t="s">
        <v>35</v>
      </c>
      <c r="S2" s="6" t="s">
        <v>33</v>
      </c>
    </row>
    <row r="3">
      <c r="A3" s="1" t="s">
        <v>40</v>
      </c>
      <c r="B3" s="2" t="s">
        <v>83</v>
      </c>
      <c r="D3" s="15"/>
      <c r="E3" s="15"/>
      <c r="F3" s="15"/>
      <c r="G3" s="15"/>
      <c r="H3" s="15"/>
      <c r="I3" s="15"/>
      <c r="K3" s="13"/>
      <c r="L3" s="21"/>
      <c r="M3" s="19"/>
      <c r="N3" s="21"/>
      <c r="O3" s="19"/>
      <c r="P3" s="19">
        <v>10164.93</v>
      </c>
      <c r="Q3" s="19"/>
      <c r="R3" s="19"/>
      <c r="S3" s="19"/>
    </row>
    <row r="4">
      <c r="A4" s="1" t="s">
        <v>50</v>
      </c>
      <c r="B4" s="2" t="s">
        <v>85</v>
      </c>
      <c r="D4" s="15"/>
      <c r="E4" s="15"/>
      <c r="F4" s="15"/>
      <c r="G4" s="15"/>
      <c r="H4" s="15"/>
      <c r="I4" s="15"/>
      <c r="K4" s="13">
        <v>46155.0</v>
      </c>
      <c r="L4" s="21"/>
      <c r="M4" s="47" t="s">
        <v>239</v>
      </c>
      <c r="N4" s="21"/>
      <c r="O4" s="21">
        <v>157.0</v>
      </c>
      <c r="P4" s="19">
        <f t="shared" ref="P4:P61" si="1">P3+N4-O4</f>
        <v>10007.93</v>
      </c>
      <c r="Q4" s="27"/>
      <c r="R4" s="19"/>
      <c r="S4" s="19"/>
    </row>
    <row r="5">
      <c r="A5" s="1" t="s">
        <v>66</v>
      </c>
      <c r="B5" s="2" t="s">
        <v>96</v>
      </c>
      <c r="D5" s="15"/>
      <c r="E5" s="15"/>
      <c r="F5" s="15"/>
      <c r="G5" s="15"/>
      <c r="H5" s="15"/>
      <c r="I5" s="15"/>
      <c r="K5" s="13">
        <v>46168.0</v>
      </c>
      <c r="L5" s="21"/>
      <c r="M5" s="47" t="s">
        <v>239</v>
      </c>
      <c r="N5" s="21"/>
      <c r="O5" s="19">
        <v>157.0</v>
      </c>
      <c r="P5" s="19">
        <f t="shared" si="1"/>
        <v>9850.93</v>
      </c>
      <c r="Q5" s="27"/>
      <c r="R5" s="19"/>
      <c r="S5" s="19"/>
    </row>
    <row r="6">
      <c r="A6" s="1" t="s">
        <v>70</v>
      </c>
      <c r="B6" s="2" t="s">
        <v>257</v>
      </c>
      <c r="D6" s="15"/>
      <c r="E6" s="15"/>
      <c r="F6" s="15"/>
      <c r="G6" s="15"/>
      <c r="H6" s="15"/>
      <c r="I6" s="15"/>
      <c r="K6" s="13">
        <v>46171.0</v>
      </c>
      <c r="L6" s="21"/>
      <c r="M6" s="47" t="s">
        <v>259</v>
      </c>
      <c r="N6" s="21"/>
      <c r="O6" s="19">
        <v>47.0</v>
      </c>
      <c r="P6" s="19">
        <f t="shared" si="1"/>
        <v>9803.93</v>
      </c>
      <c r="Q6" s="27"/>
      <c r="R6" s="19"/>
      <c r="S6" s="19"/>
    </row>
    <row r="7">
      <c r="K7" s="13">
        <v>46171.0</v>
      </c>
      <c r="L7" s="21"/>
      <c r="M7" s="47" t="s">
        <v>264</v>
      </c>
      <c r="N7" s="21"/>
      <c r="O7" s="19">
        <v>47.0</v>
      </c>
      <c r="P7" s="19">
        <f t="shared" si="1"/>
        <v>9756.93</v>
      </c>
      <c r="Q7" s="27"/>
      <c r="R7" s="19"/>
      <c r="S7" s="19"/>
    </row>
    <row r="8">
      <c r="A8" s="6" t="s">
        <v>8</v>
      </c>
      <c r="B8" s="6" t="s">
        <v>84</v>
      </c>
      <c r="C8" s="6" t="s">
        <v>25</v>
      </c>
      <c r="D8" s="6" t="s">
        <v>86</v>
      </c>
      <c r="E8" s="6" t="s">
        <v>87</v>
      </c>
      <c r="G8" s="6" t="s">
        <v>8</v>
      </c>
      <c r="H8" s="6" t="s">
        <v>13</v>
      </c>
      <c r="I8" s="6" t="s">
        <v>88</v>
      </c>
      <c r="K8" s="13">
        <v>46189.0</v>
      </c>
      <c r="L8" s="21"/>
      <c r="M8" s="47" t="s">
        <v>266</v>
      </c>
      <c r="N8" s="21"/>
      <c r="O8" s="19">
        <v>47.0</v>
      </c>
      <c r="P8" s="19">
        <f t="shared" si="1"/>
        <v>9709.93</v>
      </c>
      <c r="Q8" s="27"/>
      <c r="R8" s="19"/>
      <c r="S8" s="19"/>
    </row>
    <row r="9">
      <c r="A9" s="44">
        <v>45258.0</v>
      </c>
      <c r="B9" s="52" t="s">
        <v>273</v>
      </c>
      <c r="C9" s="53" t="s">
        <v>275</v>
      </c>
      <c r="D9" s="53" t="s">
        <v>110</v>
      </c>
      <c r="E9" s="55">
        <v>30000.0</v>
      </c>
      <c r="G9" s="12"/>
      <c r="H9" s="12"/>
      <c r="I9" s="12"/>
      <c r="K9" s="13">
        <v>46202.0</v>
      </c>
      <c r="L9" s="21"/>
      <c r="M9" s="47" t="s">
        <v>280</v>
      </c>
      <c r="N9" s="21"/>
      <c r="O9" s="19">
        <v>47.0</v>
      </c>
      <c r="P9" s="19">
        <f t="shared" si="1"/>
        <v>9662.93</v>
      </c>
      <c r="Q9" s="27"/>
      <c r="R9" s="19"/>
      <c r="S9" s="19"/>
    </row>
    <row r="10">
      <c r="A10" s="46">
        <v>45308.0</v>
      </c>
      <c r="B10" s="58" t="s">
        <v>287</v>
      </c>
      <c r="C10" s="59" t="s">
        <v>292</v>
      </c>
      <c r="D10" s="53" t="s">
        <v>110</v>
      </c>
      <c r="E10" s="60">
        <v>10000.0</v>
      </c>
      <c r="G10" s="12"/>
      <c r="H10" s="12"/>
      <c r="I10" s="12"/>
      <c r="K10" s="13">
        <v>46190.0</v>
      </c>
      <c r="L10" s="21"/>
      <c r="M10" s="47" t="s">
        <v>259</v>
      </c>
      <c r="N10" s="21"/>
      <c r="O10" s="19">
        <v>47.0</v>
      </c>
      <c r="P10" s="19">
        <f t="shared" si="1"/>
        <v>9615.93</v>
      </c>
      <c r="Q10" s="27"/>
      <c r="R10" s="19"/>
      <c r="S10" s="19"/>
    </row>
    <row r="11">
      <c r="A11" s="46">
        <v>45362.0</v>
      </c>
      <c r="B11" s="58" t="s">
        <v>301</v>
      </c>
      <c r="C11" s="59" t="s">
        <v>303</v>
      </c>
      <c r="D11" s="53" t="s">
        <v>304</v>
      </c>
      <c r="E11" s="60">
        <v>24248.98</v>
      </c>
      <c r="G11" s="12"/>
      <c r="H11" s="12"/>
      <c r="I11" s="12"/>
      <c r="K11" s="13">
        <v>46190.0</v>
      </c>
      <c r="L11" s="21"/>
      <c r="M11" s="47" t="s">
        <v>264</v>
      </c>
      <c r="N11" s="21"/>
      <c r="O11" s="19">
        <v>47.0</v>
      </c>
      <c r="P11" s="19">
        <f t="shared" si="1"/>
        <v>9568.93</v>
      </c>
      <c r="Q11" s="27"/>
      <c r="R11" s="19"/>
      <c r="S11" s="19"/>
    </row>
    <row r="12">
      <c r="A12" s="62">
        <v>45513.0</v>
      </c>
      <c r="B12" s="64" t="s">
        <v>316</v>
      </c>
      <c r="C12" s="65" t="s">
        <v>319</v>
      </c>
      <c r="D12" s="53" t="s">
        <v>304</v>
      </c>
      <c r="E12" s="66">
        <v>17000.0</v>
      </c>
      <c r="G12" s="12"/>
      <c r="H12" s="12"/>
      <c r="I12" s="12"/>
      <c r="K12" s="13">
        <v>46252.0</v>
      </c>
      <c r="L12" s="21"/>
      <c r="M12" s="47" t="s">
        <v>239</v>
      </c>
      <c r="N12" s="21"/>
      <c r="O12" s="19">
        <v>157.0</v>
      </c>
      <c r="P12" s="19">
        <f t="shared" si="1"/>
        <v>9411.93</v>
      </c>
      <c r="Q12" s="27"/>
      <c r="R12" s="19"/>
      <c r="S12" s="19"/>
    </row>
    <row r="13">
      <c r="A13" s="44">
        <v>45810.0</v>
      </c>
      <c r="B13" s="52" t="s">
        <v>327</v>
      </c>
      <c r="C13" s="53" t="s">
        <v>328</v>
      </c>
      <c r="D13" s="53" t="s">
        <v>110</v>
      </c>
      <c r="E13" s="55">
        <v>14000.0</v>
      </c>
      <c r="G13" s="12"/>
      <c r="H13" s="12"/>
      <c r="I13" s="12"/>
      <c r="K13" s="13">
        <v>46253.0</v>
      </c>
      <c r="L13" s="21"/>
      <c r="M13" s="47" t="s">
        <v>332</v>
      </c>
      <c r="N13" s="21"/>
      <c r="O13" s="19">
        <v>157.0</v>
      </c>
      <c r="P13" s="19">
        <f t="shared" si="1"/>
        <v>9254.93</v>
      </c>
      <c r="Q13" s="27"/>
      <c r="R13" s="19"/>
      <c r="S13" s="19"/>
    </row>
    <row r="14">
      <c r="A14" s="44">
        <v>45782.0</v>
      </c>
      <c r="B14" s="52" t="s">
        <v>336</v>
      </c>
      <c r="C14" s="53" t="s">
        <v>337</v>
      </c>
      <c r="D14" s="53" t="s">
        <v>304</v>
      </c>
      <c r="E14" s="66">
        <v>37042.97</v>
      </c>
      <c r="G14" s="12"/>
      <c r="H14" s="12"/>
      <c r="I14" s="12"/>
      <c r="K14" s="13">
        <v>46259.0</v>
      </c>
      <c r="L14" s="21"/>
      <c r="M14" s="47" t="s">
        <v>239</v>
      </c>
      <c r="N14" s="21"/>
      <c r="O14" s="19">
        <v>157.0</v>
      </c>
      <c r="P14" s="19">
        <f t="shared" si="1"/>
        <v>9097.93</v>
      </c>
      <c r="Q14" s="27"/>
      <c r="R14" s="19"/>
      <c r="S14" s="19"/>
    </row>
    <row r="15">
      <c r="A15" s="44">
        <v>45792.0</v>
      </c>
      <c r="B15" s="52" t="s">
        <v>339</v>
      </c>
      <c r="C15" s="53" t="s">
        <v>341</v>
      </c>
      <c r="D15" s="53" t="s">
        <v>304</v>
      </c>
      <c r="E15" s="67">
        <v>35547.0</v>
      </c>
      <c r="G15" s="12"/>
      <c r="H15" s="12"/>
      <c r="I15" s="12"/>
      <c r="K15" s="13">
        <v>46261.0</v>
      </c>
      <c r="L15" s="21"/>
      <c r="M15" s="47" t="s">
        <v>346</v>
      </c>
      <c r="N15" s="21"/>
      <c r="O15" s="19">
        <v>38.0</v>
      </c>
      <c r="P15" s="19">
        <f t="shared" si="1"/>
        <v>9059.93</v>
      </c>
      <c r="Q15" s="27"/>
      <c r="R15" s="19"/>
      <c r="S15" s="19"/>
    </row>
    <row r="16">
      <c r="A16" s="44">
        <v>45898.0</v>
      </c>
      <c r="B16" s="52" t="s">
        <v>350</v>
      </c>
      <c r="C16" s="53" t="s">
        <v>351</v>
      </c>
      <c r="D16" s="53" t="s">
        <v>304</v>
      </c>
      <c r="E16" s="67">
        <v>5000.0</v>
      </c>
      <c r="G16" s="12"/>
      <c r="H16" s="12"/>
      <c r="I16" s="12"/>
      <c r="K16" s="13">
        <v>46261.0</v>
      </c>
      <c r="L16" s="21"/>
      <c r="M16" s="47" t="s">
        <v>332</v>
      </c>
      <c r="N16" s="21"/>
      <c r="O16" s="19">
        <v>196.0</v>
      </c>
      <c r="P16" s="19">
        <f t="shared" si="1"/>
        <v>8863.93</v>
      </c>
      <c r="Q16" s="27"/>
      <c r="R16" s="19"/>
      <c r="S16" s="19"/>
    </row>
    <row r="17">
      <c r="A17" s="15"/>
      <c r="B17" s="12"/>
      <c r="C17" s="12"/>
      <c r="D17" s="12"/>
      <c r="E17" s="12"/>
      <c r="G17" s="12"/>
      <c r="H17" s="12"/>
      <c r="I17" s="12"/>
      <c r="K17" s="21" t="s">
        <v>359</v>
      </c>
      <c r="L17" s="21"/>
      <c r="M17" s="47" t="s">
        <v>332</v>
      </c>
      <c r="N17" s="21"/>
      <c r="O17" s="19">
        <v>249.0</v>
      </c>
      <c r="P17" s="19">
        <f t="shared" si="1"/>
        <v>8614.93</v>
      </c>
      <c r="Q17" s="27"/>
      <c r="R17" s="19"/>
      <c r="S17" s="19"/>
    </row>
    <row r="18">
      <c r="A18" s="15"/>
      <c r="B18" s="12"/>
      <c r="C18" s="12"/>
      <c r="D18" s="12"/>
      <c r="E18" s="12"/>
      <c r="G18" s="12"/>
      <c r="H18" s="12"/>
      <c r="I18" s="12"/>
      <c r="K18" s="21" t="s">
        <v>372</v>
      </c>
      <c r="L18" s="21"/>
      <c r="M18" s="47" t="s">
        <v>373</v>
      </c>
      <c r="N18" s="21"/>
      <c r="O18" s="19">
        <v>157.0</v>
      </c>
      <c r="P18" s="19">
        <f t="shared" si="1"/>
        <v>8457.93</v>
      </c>
      <c r="Q18" s="27"/>
      <c r="R18" s="19"/>
      <c r="S18" s="19"/>
    </row>
    <row r="19">
      <c r="A19" s="15"/>
      <c r="B19" s="12"/>
      <c r="C19" s="12"/>
      <c r="D19" s="12"/>
      <c r="E19" s="12"/>
      <c r="G19" s="12"/>
      <c r="H19" s="12"/>
      <c r="I19" s="12"/>
      <c r="K19" s="21" t="s">
        <v>372</v>
      </c>
      <c r="L19" s="21"/>
      <c r="M19" s="47" t="s">
        <v>332</v>
      </c>
      <c r="N19" s="21"/>
      <c r="O19" s="19">
        <v>157.0</v>
      </c>
      <c r="P19" s="19">
        <f t="shared" si="1"/>
        <v>8300.93</v>
      </c>
      <c r="Q19" s="27"/>
      <c r="R19" s="19"/>
      <c r="S19" s="19"/>
    </row>
    <row r="20">
      <c r="A20" s="15"/>
      <c r="B20" s="12"/>
      <c r="C20" s="12"/>
      <c r="D20" s="12"/>
      <c r="E20" s="12"/>
      <c r="G20" s="12"/>
      <c r="H20" s="12"/>
      <c r="I20" s="12"/>
      <c r="K20" s="21" t="s">
        <v>394</v>
      </c>
      <c r="L20" s="21"/>
      <c r="M20" s="47" t="s">
        <v>373</v>
      </c>
      <c r="N20" s="21"/>
      <c r="O20" s="19">
        <v>157.0</v>
      </c>
      <c r="P20" s="19">
        <f t="shared" si="1"/>
        <v>8143.93</v>
      </c>
      <c r="Q20" s="27"/>
      <c r="R20" s="19"/>
      <c r="S20" s="19"/>
    </row>
    <row r="21">
      <c r="A21" s="15"/>
      <c r="B21" s="12"/>
      <c r="C21" s="12"/>
      <c r="D21" s="12"/>
      <c r="E21" s="12"/>
      <c r="G21" s="12"/>
      <c r="H21" s="12"/>
      <c r="I21" s="12"/>
      <c r="K21" s="18">
        <v>46296.0</v>
      </c>
      <c r="L21" s="21"/>
      <c r="M21" s="27" t="s">
        <v>395</v>
      </c>
      <c r="N21" s="21"/>
      <c r="O21" s="19">
        <v>126.0</v>
      </c>
      <c r="P21" s="19">
        <f t="shared" si="1"/>
        <v>8017.93</v>
      </c>
      <c r="Q21" s="27"/>
      <c r="R21" s="19"/>
      <c r="S21" s="19"/>
    </row>
    <row r="22">
      <c r="A22" s="15"/>
      <c r="B22" s="12"/>
      <c r="C22" s="12"/>
      <c r="D22" s="12"/>
      <c r="E22" s="12"/>
      <c r="G22" s="12"/>
      <c r="H22" s="12"/>
      <c r="I22" s="12"/>
      <c r="K22" s="18">
        <v>46307.0</v>
      </c>
      <c r="L22" s="21"/>
      <c r="M22" s="21" t="s">
        <v>259</v>
      </c>
      <c r="N22" s="21"/>
      <c r="O22" s="19">
        <v>47.0</v>
      </c>
      <c r="P22" s="19">
        <f t="shared" si="1"/>
        <v>7970.93</v>
      </c>
      <c r="Q22" s="27"/>
      <c r="R22" s="19"/>
      <c r="S22" s="19"/>
    </row>
    <row r="23">
      <c r="A23" s="15"/>
      <c r="B23" s="12"/>
      <c r="C23" s="12"/>
      <c r="D23" s="12"/>
      <c r="E23" s="12"/>
      <c r="G23" s="12"/>
      <c r="H23" s="12"/>
      <c r="I23" s="12"/>
      <c r="K23" s="18">
        <v>46307.0</v>
      </c>
      <c r="L23" s="21"/>
      <c r="M23" s="21" t="s">
        <v>266</v>
      </c>
      <c r="N23" s="21"/>
      <c r="O23" s="19">
        <v>47.0</v>
      </c>
      <c r="P23" s="19">
        <f t="shared" si="1"/>
        <v>7923.93</v>
      </c>
      <c r="Q23" s="27"/>
      <c r="R23" s="19"/>
      <c r="S23" s="19"/>
    </row>
    <row r="24">
      <c r="A24" s="15"/>
      <c r="B24" s="12"/>
      <c r="C24" s="12"/>
      <c r="D24" s="12"/>
      <c r="E24" s="12"/>
      <c r="G24" s="12"/>
      <c r="H24" s="12"/>
      <c r="I24" s="12"/>
      <c r="K24" s="13"/>
      <c r="L24" s="21"/>
      <c r="M24" s="21"/>
      <c r="N24" s="21"/>
      <c r="O24" s="19"/>
      <c r="P24" s="19">
        <f t="shared" si="1"/>
        <v>7923.93</v>
      </c>
      <c r="Q24" s="27"/>
      <c r="R24" s="19"/>
      <c r="S24" s="19"/>
    </row>
    <row r="25">
      <c r="A25" s="15"/>
      <c r="B25" s="12"/>
      <c r="C25" s="12"/>
      <c r="D25" s="12"/>
      <c r="E25" s="12"/>
      <c r="G25" s="12"/>
      <c r="H25" s="12"/>
      <c r="I25" s="12"/>
      <c r="K25" s="13"/>
      <c r="L25" s="21"/>
      <c r="M25" s="21"/>
      <c r="N25" s="21"/>
      <c r="O25" s="19"/>
      <c r="P25" s="19">
        <f t="shared" si="1"/>
        <v>7923.93</v>
      </c>
      <c r="Q25" s="27"/>
      <c r="R25" s="19"/>
      <c r="S25" s="19"/>
    </row>
    <row r="26">
      <c r="A26" s="15"/>
      <c r="B26" s="12"/>
      <c r="C26" s="12"/>
      <c r="D26" s="12"/>
      <c r="E26" s="12"/>
      <c r="G26" s="12"/>
      <c r="H26" s="12"/>
      <c r="I26" s="12"/>
      <c r="K26" s="13"/>
      <c r="L26" s="21"/>
      <c r="M26" s="21"/>
      <c r="N26" s="21"/>
      <c r="O26" s="19"/>
      <c r="P26" s="19">
        <f t="shared" si="1"/>
        <v>7923.93</v>
      </c>
      <c r="Q26" s="27"/>
      <c r="R26" s="19"/>
      <c r="S26" s="19"/>
    </row>
    <row r="27">
      <c r="A27" s="15"/>
      <c r="B27" s="12"/>
      <c r="C27" s="12"/>
      <c r="D27" s="12"/>
      <c r="E27" s="12"/>
      <c r="G27" s="12"/>
      <c r="H27" s="12"/>
      <c r="I27" s="12"/>
      <c r="K27" s="13"/>
      <c r="L27" s="21"/>
      <c r="M27" s="21"/>
      <c r="N27" s="21"/>
      <c r="O27" s="19"/>
      <c r="P27" s="19">
        <f t="shared" si="1"/>
        <v>7923.93</v>
      </c>
      <c r="Q27" s="27"/>
      <c r="R27" s="19"/>
      <c r="S27" s="19"/>
    </row>
    <row r="28">
      <c r="A28" s="12"/>
      <c r="B28" s="12"/>
      <c r="C28" s="12"/>
      <c r="D28" s="12"/>
      <c r="E28" s="12"/>
      <c r="G28" s="12"/>
      <c r="H28" s="12"/>
      <c r="I28" s="12"/>
      <c r="K28" s="13"/>
      <c r="L28" s="21"/>
      <c r="M28" s="21"/>
      <c r="N28" s="21"/>
      <c r="O28" s="19"/>
      <c r="P28" s="19">
        <f t="shared" si="1"/>
        <v>7923.93</v>
      </c>
      <c r="Q28" s="27"/>
      <c r="R28" s="19"/>
      <c r="S28" s="19"/>
    </row>
    <row r="29">
      <c r="K29" s="13"/>
      <c r="L29" s="21"/>
      <c r="M29" s="21"/>
      <c r="N29" s="21"/>
      <c r="O29" s="19"/>
      <c r="P29" s="19">
        <f t="shared" si="1"/>
        <v>7923.93</v>
      </c>
      <c r="Q29" s="27"/>
      <c r="R29" s="19"/>
      <c r="S29" s="19"/>
    </row>
    <row r="30">
      <c r="K30" s="13"/>
      <c r="L30" s="21"/>
      <c r="M30" s="21"/>
      <c r="N30" s="21"/>
      <c r="O30" s="19"/>
      <c r="P30" s="19">
        <f t="shared" si="1"/>
        <v>7923.93</v>
      </c>
      <c r="Q30" s="27"/>
      <c r="R30" s="19"/>
      <c r="S30" s="19"/>
    </row>
    <row r="31">
      <c r="K31" s="13"/>
      <c r="L31" s="21"/>
      <c r="M31" s="21"/>
      <c r="N31" s="21"/>
      <c r="O31" s="19"/>
      <c r="P31" s="19">
        <f t="shared" si="1"/>
        <v>7923.93</v>
      </c>
      <c r="Q31" s="27"/>
      <c r="R31" s="19"/>
      <c r="S31" s="19"/>
    </row>
    <row r="32">
      <c r="K32" s="13"/>
      <c r="L32" s="21"/>
      <c r="M32" s="21"/>
      <c r="N32" s="21"/>
      <c r="O32" s="19"/>
      <c r="P32" s="19">
        <f t="shared" si="1"/>
        <v>7923.93</v>
      </c>
      <c r="Q32" s="27"/>
      <c r="R32" s="19"/>
      <c r="S32" s="19"/>
    </row>
    <row r="33">
      <c r="K33" s="13"/>
      <c r="L33" s="21"/>
      <c r="M33" s="21"/>
      <c r="N33" s="21"/>
      <c r="O33" s="19"/>
      <c r="P33" s="19">
        <f t="shared" si="1"/>
        <v>7923.93</v>
      </c>
      <c r="Q33" s="27"/>
      <c r="R33" s="19"/>
      <c r="S33" s="19"/>
    </row>
    <row r="34">
      <c r="K34" s="13"/>
      <c r="L34" s="21"/>
      <c r="M34" s="21"/>
      <c r="N34" s="21"/>
      <c r="O34" s="19"/>
      <c r="P34" s="19">
        <f t="shared" si="1"/>
        <v>7923.93</v>
      </c>
      <c r="Q34" s="27"/>
      <c r="R34" s="19"/>
      <c r="S34" s="19"/>
    </row>
    <row r="35">
      <c r="K35" s="13"/>
      <c r="L35" s="21"/>
      <c r="M35" s="21"/>
      <c r="N35" s="21"/>
      <c r="O35" s="19"/>
      <c r="P35" s="19">
        <f t="shared" si="1"/>
        <v>7923.93</v>
      </c>
      <c r="Q35" s="27"/>
      <c r="R35" s="19"/>
      <c r="S35" s="19"/>
    </row>
    <row r="36">
      <c r="K36" s="13"/>
      <c r="L36" s="21"/>
      <c r="M36" s="21"/>
      <c r="N36" s="21"/>
      <c r="O36" s="19"/>
      <c r="P36" s="19">
        <f t="shared" si="1"/>
        <v>7923.93</v>
      </c>
      <c r="Q36" s="27"/>
      <c r="R36" s="19"/>
      <c r="S36" s="19"/>
    </row>
    <row r="37">
      <c r="K37" s="13"/>
      <c r="L37" s="21"/>
      <c r="M37" s="21"/>
      <c r="N37" s="21"/>
      <c r="O37" s="19"/>
      <c r="P37" s="19">
        <f t="shared" si="1"/>
        <v>7923.93</v>
      </c>
      <c r="Q37" s="27"/>
      <c r="R37" s="19"/>
      <c r="S37" s="19"/>
    </row>
    <row r="38">
      <c r="K38" s="13"/>
      <c r="L38" s="21"/>
      <c r="M38" s="21"/>
      <c r="N38" s="21"/>
      <c r="O38" s="19"/>
      <c r="P38" s="19">
        <f t="shared" si="1"/>
        <v>7923.93</v>
      </c>
      <c r="Q38" s="27"/>
      <c r="R38" s="19"/>
      <c r="S38" s="19"/>
    </row>
    <row r="39">
      <c r="K39" s="13"/>
      <c r="L39" s="21"/>
      <c r="M39" s="21"/>
      <c r="N39" s="21"/>
      <c r="O39" s="19"/>
      <c r="P39" s="19">
        <f t="shared" si="1"/>
        <v>7923.93</v>
      </c>
      <c r="Q39" s="27"/>
      <c r="R39" s="27"/>
      <c r="S39" s="27"/>
      <c r="Z39" s="1" t="s">
        <v>412</v>
      </c>
    </row>
    <row r="40">
      <c r="K40" s="13"/>
      <c r="L40" s="21"/>
      <c r="M40" s="21"/>
      <c r="N40" s="21"/>
      <c r="O40" s="19"/>
      <c r="P40" s="19">
        <f t="shared" si="1"/>
        <v>7923.93</v>
      </c>
      <c r="Q40" s="27"/>
      <c r="R40" s="27"/>
      <c r="S40" s="27"/>
    </row>
    <row r="41">
      <c r="K41" s="13"/>
      <c r="L41" s="21"/>
      <c r="M41" s="21"/>
      <c r="N41" s="21"/>
      <c r="O41" s="19"/>
      <c r="P41" s="19">
        <f t="shared" si="1"/>
        <v>7923.93</v>
      </c>
      <c r="Q41" s="27"/>
      <c r="R41" s="27"/>
      <c r="S41" s="27"/>
    </row>
    <row r="42">
      <c r="K42" s="13"/>
      <c r="L42" s="21"/>
      <c r="M42" s="21"/>
      <c r="N42" s="21"/>
      <c r="O42" s="19"/>
      <c r="P42" s="19">
        <f t="shared" si="1"/>
        <v>7923.93</v>
      </c>
      <c r="Q42" s="27"/>
      <c r="R42" s="27"/>
      <c r="S42" s="27"/>
    </row>
    <row r="43">
      <c r="K43" s="13"/>
      <c r="L43" s="21"/>
      <c r="M43" s="21"/>
      <c r="N43" s="21"/>
      <c r="O43" s="19"/>
      <c r="P43" s="19">
        <f t="shared" si="1"/>
        <v>7923.93</v>
      </c>
      <c r="Q43" s="27"/>
      <c r="R43" s="27"/>
      <c r="S43" s="27"/>
    </row>
    <row r="44">
      <c r="K44" s="13"/>
      <c r="L44" s="21"/>
      <c r="M44" s="21"/>
      <c r="N44" s="21"/>
      <c r="O44" s="19"/>
      <c r="P44" s="19">
        <f t="shared" si="1"/>
        <v>7923.93</v>
      </c>
      <c r="Q44" s="27"/>
      <c r="R44" s="27"/>
      <c r="S44" s="27"/>
    </row>
    <row r="45">
      <c r="K45" s="13"/>
      <c r="L45" s="21"/>
      <c r="M45" s="21"/>
      <c r="N45" s="21"/>
      <c r="O45" s="19"/>
      <c r="P45" s="19">
        <f t="shared" si="1"/>
        <v>7923.93</v>
      </c>
      <c r="Q45" s="27"/>
      <c r="R45" s="27"/>
      <c r="S45" s="27"/>
    </row>
    <row r="46">
      <c r="K46" s="13"/>
      <c r="L46" s="21"/>
      <c r="M46" s="21"/>
      <c r="N46" s="21"/>
      <c r="O46" s="19"/>
      <c r="P46" s="19">
        <f t="shared" si="1"/>
        <v>7923.93</v>
      </c>
      <c r="Q46" s="27"/>
      <c r="R46" s="27"/>
      <c r="S46" s="27"/>
    </row>
    <row r="47">
      <c r="K47" s="13"/>
      <c r="L47" s="21"/>
      <c r="M47" s="21"/>
      <c r="N47" s="21"/>
      <c r="O47" s="19"/>
      <c r="P47" s="19">
        <f t="shared" si="1"/>
        <v>7923.93</v>
      </c>
      <c r="Q47" s="27"/>
      <c r="R47" s="27"/>
      <c r="S47" s="27"/>
    </row>
    <row r="48">
      <c r="K48" s="13"/>
      <c r="L48" s="21"/>
      <c r="M48" s="21"/>
      <c r="N48" s="21"/>
      <c r="O48" s="19"/>
      <c r="P48" s="19">
        <f t="shared" si="1"/>
        <v>7923.93</v>
      </c>
      <c r="Q48" s="27"/>
      <c r="R48" s="27"/>
      <c r="S48" s="27"/>
    </row>
    <row r="49">
      <c r="K49" s="13"/>
      <c r="L49" s="21"/>
      <c r="M49" s="21"/>
      <c r="N49" s="21"/>
      <c r="O49" s="19"/>
      <c r="P49" s="19">
        <f t="shared" si="1"/>
        <v>7923.93</v>
      </c>
      <c r="Q49" s="27"/>
      <c r="R49" s="27"/>
      <c r="S49" s="27"/>
    </row>
    <row r="50">
      <c r="K50" s="13"/>
      <c r="L50" s="21"/>
      <c r="M50" s="21"/>
      <c r="N50" s="21"/>
      <c r="O50" s="19"/>
      <c r="P50" s="19">
        <f t="shared" si="1"/>
        <v>7923.93</v>
      </c>
      <c r="Q50" s="27"/>
      <c r="R50" s="27"/>
      <c r="S50" s="27"/>
    </row>
    <row r="51">
      <c r="K51" s="13"/>
      <c r="L51" s="21"/>
      <c r="M51" s="21"/>
      <c r="N51" s="21"/>
      <c r="O51" s="19"/>
      <c r="P51" s="19">
        <f t="shared" si="1"/>
        <v>7923.93</v>
      </c>
      <c r="Q51" s="27"/>
      <c r="R51" s="27"/>
      <c r="S51" s="27"/>
    </row>
    <row r="52">
      <c r="K52" s="13"/>
      <c r="L52" s="21"/>
      <c r="M52" s="21"/>
      <c r="N52" s="21"/>
      <c r="O52" s="19"/>
      <c r="P52" s="19">
        <f t="shared" si="1"/>
        <v>7923.93</v>
      </c>
      <c r="Q52" s="27"/>
      <c r="R52" s="27"/>
      <c r="S52" s="27"/>
    </row>
    <row r="53">
      <c r="K53" s="13"/>
      <c r="L53" s="21"/>
      <c r="M53" s="21"/>
      <c r="N53" s="21"/>
      <c r="O53" s="19"/>
      <c r="P53" s="19">
        <f t="shared" si="1"/>
        <v>7923.93</v>
      </c>
      <c r="Q53" s="27"/>
      <c r="R53" s="27"/>
      <c r="S53" s="27"/>
    </row>
    <row r="54">
      <c r="K54" s="13"/>
      <c r="L54" s="21"/>
      <c r="M54" s="21"/>
      <c r="N54" s="21"/>
      <c r="O54" s="19"/>
      <c r="P54" s="19">
        <f t="shared" si="1"/>
        <v>7923.93</v>
      </c>
      <c r="Q54" s="27"/>
      <c r="R54" s="27"/>
      <c r="S54" s="27"/>
    </row>
    <row r="55">
      <c r="K55" s="13"/>
      <c r="L55" s="21"/>
      <c r="M55" s="21"/>
      <c r="N55" s="21"/>
      <c r="O55" s="19"/>
      <c r="P55" s="19">
        <f t="shared" si="1"/>
        <v>7923.93</v>
      </c>
      <c r="Q55" s="27"/>
      <c r="R55" s="27"/>
      <c r="S55" s="27"/>
    </row>
    <row r="56">
      <c r="K56" s="13"/>
      <c r="L56" s="21"/>
      <c r="M56" s="21"/>
      <c r="N56" s="21"/>
      <c r="O56" s="19"/>
      <c r="P56" s="19">
        <f t="shared" si="1"/>
        <v>7923.93</v>
      </c>
      <c r="Q56" s="27"/>
      <c r="R56" s="27"/>
      <c r="S56" s="27"/>
    </row>
    <row r="57">
      <c r="K57" s="13"/>
      <c r="L57" s="21"/>
      <c r="M57" s="21"/>
      <c r="N57" s="21"/>
      <c r="O57" s="19"/>
      <c r="P57" s="19">
        <f t="shared" si="1"/>
        <v>7923.93</v>
      </c>
      <c r="Q57" s="27"/>
      <c r="R57" s="27"/>
      <c r="S57" s="27"/>
    </row>
    <row r="58">
      <c r="K58" s="13"/>
      <c r="L58" s="21"/>
      <c r="M58" s="21"/>
      <c r="N58" s="21"/>
      <c r="O58" s="19"/>
      <c r="P58" s="19">
        <f t="shared" si="1"/>
        <v>7923.93</v>
      </c>
      <c r="Q58" s="27"/>
      <c r="R58" s="27"/>
      <c r="S58" s="27"/>
    </row>
    <row r="59">
      <c r="K59" s="13"/>
      <c r="L59" s="21"/>
      <c r="M59" s="21"/>
      <c r="N59" s="21"/>
      <c r="O59" s="19"/>
      <c r="P59" s="19">
        <f t="shared" si="1"/>
        <v>7923.93</v>
      </c>
      <c r="Q59" s="27"/>
      <c r="R59" s="27"/>
      <c r="S59" s="27"/>
    </row>
    <row r="60">
      <c r="K60" s="13"/>
      <c r="L60" s="21"/>
      <c r="M60" s="21"/>
      <c r="N60" s="21"/>
      <c r="O60" s="19"/>
      <c r="P60" s="19">
        <f t="shared" si="1"/>
        <v>7923.93</v>
      </c>
      <c r="Q60" s="27"/>
      <c r="R60" s="27"/>
      <c r="S60" s="27"/>
    </row>
    <row r="61">
      <c r="K61" s="13"/>
      <c r="L61" s="21"/>
      <c r="M61" s="21"/>
      <c r="N61" s="21"/>
      <c r="O61" s="19"/>
      <c r="P61" s="19">
        <f t="shared" si="1"/>
        <v>7923.93</v>
      </c>
      <c r="Q61" s="27"/>
      <c r="R61" s="27"/>
      <c r="S61" s="2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5.88"/>
    <col customWidth="1" min="12" max="12" width="10.5"/>
    <col customWidth="1" min="13" max="13" width="21.88"/>
    <col customWidth="1" min="16" max="16" width="18.5"/>
  </cols>
  <sheetData>
    <row r="1">
      <c r="A1" s="2" t="s">
        <v>1</v>
      </c>
      <c r="B1" s="1"/>
      <c r="D1" s="3" t="s">
        <v>2</v>
      </c>
      <c r="E1" s="3" t="s">
        <v>3</v>
      </c>
      <c r="F1" s="3" t="s">
        <v>5</v>
      </c>
      <c r="G1" s="3" t="s">
        <v>6</v>
      </c>
      <c r="H1" s="3" t="s">
        <v>7</v>
      </c>
      <c r="I1" s="6" t="s">
        <v>9</v>
      </c>
      <c r="K1" s="8" t="s">
        <v>447</v>
      </c>
      <c r="L1" s="8"/>
      <c r="M1" s="8"/>
      <c r="N1" s="8"/>
      <c r="O1" s="8"/>
      <c r="P1" s="8"/>
      <c r="Q1" s="10"/>
      <c r="R1" s="10"/>
      <c r="S1" s="10"/>
    </row>
    <row r="2">
      <c r="A2" s="1" t="s">
        <v>21</v>
      </c>
      <c r="B2" s="2" t="s">
        <v>448</v>
      </c>
      <c r="D2" s="12"/>
      <c r="E2" s="12"/>
      <c r="F2" s="12"/>
      <c r="G2" s="12"/>
      <c r="H2" s="12"/>
      <c r="I2" s="12"/>
      <c r="K2" s="11" t="s">
        <v>8</v>
      </c>
      <c r="L2" s="11" t="s">
        <v>24</v>
      </c>
      <c r="M2" s="11" t="s">
        <v>25</v>
      </c>
      <c r="N2" s="11" t="s">
        <v>27</v>
      </c>
      <c r="O2" s="11" t="s">
        <v>28</v>
      </c>
      <c r="P2" s="11" t="s">
        <v>30</v>
      </c>
      <c r="Q2" s="6" t="s">
        <v>36</v>
      </c>
      <c r="R2" s="6" t="s">
        <v>35</v>
      </c>
      <c r="S2" s="6" t="s">
        <v>33</v>
      </c>
    </row>
    <row r="3">
      <c r="A3" s="1" t="s">
        <v>40</v>
      </c>
      <c r="B3" s="2" t="s">
        <v>102</v>
      </c>
      <c r="D3" s="12"/>
      <c r="E3" s="12"/>
      <c r="F3" s="12"/>
      <c r="G3" s="12"/>
      <c r="H3" s="12"/>
      <c r="I3" s="12"/>
      <c r="K3" s="18"/>
      <c r="L3" s="22"/>
      <c r="M3" s="22"/>
      <c r="N3" s="22"/>
      <c r="O3" s="24"/>
      <c r="P3" s="24">
        <v>2803.01</v>
      </c>
      <c r="Q3" s="19"/>
      <c r="R3" s="19"/>
      <c r="S3" s="19"/>
    </row>
    <row r="4">
      <c r="A4" s="1" t="s">
        <v>50</v>
      </c>
      <c r="B4" s="2" t="s">
        <v>118</v>
      </c>
      <c r="D4" s="12"/>
      <c r="E4" s="12"/>
      <c r="F4" s="12"/>
      <c r="G4" s="12"/>
      <c r="H4" s="12"/>
      <c r="I4" s="12"/>
      <c r="K4" s="18">
        <v>46147.0</v>
      </c>
      <c r="L4" s="69"/>
      <c r="M4" s="74"/>
      <c r="N4" s="69"/>
      <c r="O4" s="24">
        <v>97.0</v>
      </c>
      <c r="P4" s="24">
        <f t="shared" ref="P4:P96" si="1">P3+N4-O4</f>
        <v>2706.01</v>
      </c>
      <c r="Q4" s="27"/>
      <c r="R4" s="19"/>
      <c r="S4" s="19"/>
    </row>
    <row r="5">
      <c r="A5" s="1" t="s">
        <v>66</v>
      </c>
      <c r="B5" s="2" t="s">
        <v>449</v>
      </c>
      <c r="D5" s="12"/>
      <c r="E5" s="12"/>
      <c r="F5" s="12"/>
      <c r="G5" s="12"/>
      <c r="H5" s="12"/>
      <c r="I5" s="12"/>
      <c r="K5" s="18">
        <v>46148.0</v>
      </c>
      <c r="L5" s="69"/>
      <c r="M5" s="63" t="s">
        <v>450</v>
      </c>
      <c r="N5" s="69"/>
      <c r="O5" s="24">
        <v>314.0</v>
      </c>
      <c r="P5" s="24">
        <f t="shared" si="1"/>
        <v>2392.01</v>
      </c>
      <c r="Q5" s="27"/>
      <c r="R5" s="19"/>
      <c r="S5" s="19"/>
    </row>
    <row r="6">
      <c r="A6" s="1" t="s">
        <v>70</v>
      </c>
      <c r="B6" s="2" t="s">
        <v>100</v>
      </c>
      <c r="D6" s="12"/>
      <c r="E6" s="12"/>
      <c r="F6" s="12"/>
      <c r="G6" s="12"/>
      <c r="H6" s="12"/>
      <c r="I6" s="12"/>
      <c r="K6" s="18">
        <v>46148.0</v>
      </c>
      <c r="L6" s="69"/>
      <c r="M6" s="63" t="s">
        <v>387</v>
      </c>
      <c r="N6" s="69"/>
      <c r="O6" s="24">
        <v>129.0</v>
      </c>
      <c r="P6" s="24">
        <f t="shared" si="1"/>
        <v>2263.01</v>
      </c>
      <c r="Q6" s="27"/>
      <c r="R6" s="19"/>
      <c r="S6" s="19"/>
    </row>
    <row r="7">
      <c r="K7" s="18">
        <v>46148.0</v>
      </c>
      <c r="L7" s="69"/>
      <c r="M7" s="63" t="s">
        <v>451</v>
      </c>
      <c r="N7" s="69"/>
      <c r="O7" s="24">
        <v>135.0</v>
      </c>
      <c r="P7" s="24">
        <f t="shared" si="1"/>
        <v>2128.01</v>
      </c>
      <c r="Q7" s="27"/>
      <c r="R7" s="19"/>
      <c r="S7" s="19"/>
    </row>
    <row r="8">
      <c r="A8" s="6" t="s">
        <v>8</v>
      </c>
      <c r="B8" s="6" t="s">
        <v>84</v>
      </c>
      <c r="C8" s="6" t="s">
        <v>25</v>
      </c>
      <c r="D8" s="6" t="s">
        <v>86</v>
      </c>
      <c r="E8" s="6" t="s">
        <v>87</v>
      </c>
      <c r="G8" s="6" t="s">
        <v>8</v>
      </c>
      <c r="H8" s="6" t="s">
        <v>13</v>
      </c>
      <c r="I8" s="6" t="s">
        <v>88</v>
      </c>
      <c r="K8" s="18">
        <v>46148.0</v>
      </c>
      <c r="L8" s="69"/>
      <c r="M8" s="63" t="s">
        <v>452</v>
      </c>
      <c r="N8" s="69"/>
      <c r="O8" s="24">
        <v>85.0</v>
      </c>
      <c r="P8" s="24">
        <f t="shared" si="1"/>
        <v>2043.01</v>
      </c>
      <c r="Q8" s="27"/>
      <c r="R8" s="19"/>
      <c r="S8" s="19"/>
    </row>
    <row r="9">
      <c r="A9" s="12"/>
      <c r="B9" s="12"/>
      <c r="C9" s="12"/>
      <c r="D9" s="12"/>
      <c r="E9" s="12"/>
      <c r="G9" s="12"/>
      <c r="H9" s="12"/>
      <c r="I9" s="12"/>
      <c r="K9" s="18">
        <v>46148.0</v>
      </c>
      <c r="L9" s="69"/>
      <c r="M9" s="63" t="s">
        <v>369</v>
      </c>
      <c r="N9" s="69"/>
      <c r="O9" s="24">
        <v>229.0</v>
      </c>
      <c r="P9" s="24">
        <f t="shared" si="1"/>
        <v>1814.01</v>
      </c>
      <c r="Q9" s="27"/>
      <c r="R9" s="19"/>
      <c r="S9" s="19"/>
    </row>
    <row r="10">
      <c r="A10" s="12"/>
      <c r="B10" s="12"/>
      <c r="C10" s="12"/>
      <c r="D10" s="12"/>
      <c r="E10" s="12"/>
      <c r="G10" s="12"/>
      <c r="H10" s="12"/>
      <c r="I10" s="12"/>
      <c r="K10" s="18">
        <v>46151.0</v>
      </c>
      <c r="L10" s="69"/>
      <c r="M10" s="63" t="s">
        <v>98</v>
      </c>
      <c r="N10" s="69"/>
      <c r="O10" s="24">
        <v>97.0</v>
      </c>
      <c r="P10" s="24">
        <f t="shared" si="1"/>
        <v>1717.01</v>
      </c>
      <c r="Q10" s="27"/>
      <c r="R10" s="19"/>
      <c r="S10" s="19"/>
    </row>
    <row r="11">
      <c r="A11" s="12"/>
      <c r="B11" s="12"/>
      <c r="C11" s="12"/>
      <c r="D11" s="12"/>
      <c r="E11" s="12"/>
      <c r="G11" s="12"/>
      <c r="H11" s="12"/>
      <c r="I11" s="12"/>
      <c r="K11" s="18">
        <v>46151.0</v>
      </c>
      <c r="L11" s="69"/>
      <c r="M11" s="63" t="s">
        <v>223</v>
      </c>
      <c r="N11" s="69"/>
      <c r="O11" s="24">
        <v>97.0</v>
      </c>
      <c r="P11" s="24">
        <f t="shared" si="1"/>
        <v>1620.01</v>
      </c>
      <c r="Q11" s="27"/>
      <c r="R11" s="19"/>
      <c r="S11" s="19"/>
    </row>
    <row r="12">
      <c r="A12" s="12"/>
      <c r="B12" s="12"/>
      <c r="C12" s="12"/>
      <c r="D12" s="12"/>
      <c r="E12" s="12"/>
      <c r="G12" s="12"/>
      <c r="H12" s="12"/>
      <c r="I12" s="12"/>
      <c r="K12" s="18">
        <v>46155.0</v>
      </c>
      <c r="L12" s="69"/>
      <c r="M12" s="63" t="s">
        <v>196</v>
      </c>
      <c r="N12" s="69"/>
      <c r="O12" s="24">
        <v>316.0</v>
      </c>
      <c r="P12" s="24">
        <f t="shared" si="1"/>
        <v>1304.01</v>
      </c>
      <c r="Q12" s="27"/>
      <c r="R12" s="19"/>
      <c r="S12" s="19"/>
    </row>
    <row r="13">
      <c r="A13" s="12"/>
      <c r="B13" s="12"/>
      <c r="C13" s="12"/>
      <c r="D13" s="12"/>
      <c r="E13" s="12"/>
      <c r="G13" s="12"/>
      <c r="H13" s="12"/>
      <c r="I13" s="12"/>
      <c r="K13" s="18">
        <v>46155.0</v>
      </c>
      <c r="L13" s="69"/>
      <c r="M13" s="63" t="s">
        <v>453</v>
      </c>
      <c r="N13" s="69"/>
      <c r="O13" s="24">
        <v>316.0</v>
      </c>
      <c r="P13" s="24">
        <f t="shared" si="1"/>
        <v>988.01</v>
      </c>
      <c r="Q13" s="27"/>
      <c r="R13" s="19"/>
      <c r="S13" s="19"/>
    </row>
    <row r="14">
      <c r="A14" s="12"/>
      <c r="B14" s="12"/>
      <c r="C14" s="12"/>
      <c r="D14" s="12"/>
      <c r="E14" s="12"/>
      <c r="G14" s="12"/>
      <c r="H14" s="12"/>
      <c r="I14" s="12"/>
      <c r="K14" s="18">
        <v>46163.0</v>
      </c>
      <c r="L14" s="69"/>
      <c r="M14" s="63" t="s">
        <v>454</v>
      </c>
      <c r="N14" s="69"/>
      <c r="O14" s="24">
        <v>314.0</v>
      </c>
      <c r="P14" s="24">
        <f t="shared" si="1"/>
        <v>674.01</v>
      </c>
      <c r="Q14" s="27"/>
      <c r="R14" s="19"/>
      <c r="S14" s="19"/>
    </row>
    <row r="15">
      <c r="A15" s="12"/>
      <c r="B15" s="12"/>
      <c r="C15" s="12"/>
      <c r="D15" s="12"/>
      <c r="E15" s="12"/>
      <c r="G15" s="12"/>
      <c r="H15" s="12"/>
      <c r="I15" s="12"/>
      <c r="K15" s="18">
        <v>46163.0</v>
      </c>
      <c r="L15" s="22"/>
      <c r="M15" s="63" t="s">
        <v>55</v>
      </c>
      <c r="N15" s="22"/>
      <c r="O15" s="24">
        <v>85.0</v>
      </c>
      <c r="P15" s="24">
        <f t="shared" si="1"/>
        <v>589.01</v>
      </c>
      <c r="Q15" s="27"/>
      <c r="R15" s="19"/>
      <c r="S15" s="19"/>
    </row>
    <row r="16">
      <c r="A16" s="12"/>
      <c r="B16" s="12"/>
      <c r="C16" s="12"/>
      <c r="D16" s="12"/>
      <c r="E16" s="12"/>
      <c r="G16" s="12"/>
      <c r="H16" s="12"/>
      <c r="I16" s="12"/>
      <c r="K16" s="18">
        <v>46163.0</v>
      </c>
      <c r="L16" s="22"/>
      <c r="M16" s="75" t="s">
        <v>132</v>
      </c>
      <c r="N16" s="22"/>
      <c r="O16" s="24">
        <v>229.0</v>
      </c>
      <c r="P16" s="24">
        <f t="shared" si="1"/>
        <v>360.01</v>
      </c>
      <c r="Q16" s="27"/>
      <c r="R16" s="19"/>
      <c r="S16" s="19"/>
    </row>
    <row r="17">
      <c r="A17" s="12"/>
      <c r="B17" s="12"/>
      <c r="C17" s="12"/>
      <c r="D17" s="12"/>
      <c r="E17" s="12"/>
      <c r="G17" s="12"/>
      <c r="H17" s="12"/>
      <c r="I17" s="12"/>
      <c r="K17" s="18">
        <v>46163.0</v>
      </c>
      <c r="L17" s="22"/>
      <c r="M17" s="75" t="s">
        <v>271</v>
      </c>
      <c r="N17" s="22"/>
      <c r="O17" s="24">
        <v>314.0</v>
      </c>
      <c r="P17" s="24">
        <f t="shared" si="1"/>
        <v>46.01</v>
      </c>
      <c r="Q17" s="27"/>
      <c r="R17" s="19"/>
      <c r="S17" s="19"/>
    </row>
    <row r="18">
      <c r="A18" s="12"/>
      <c r="B18" s="12"/>
      <c r="C18" s="12"/>
      <c r="D18" s="12"/>
      <c r="E18" s="12"/>
      <c r="G18" s="12"/>
      <c r="H18" s="12"/>
      <c r="I18" s="12"/>
      <c r="K18" s="18">
        <v>46176.0</v>
      </c>
      <c r="L18" s="22"/>
      <c r="M18" s="75" t="s">
        <v>123</v>
      </c>
      <c r="N18" s="22"/>
      <c r="O18" s="24">
        <v>46.0</v>
      </c>
      <c r="P18" s="24">
        <f t="shared" si="1"/>
        <v>0.01</v>
      </c>
      <c r="Q18" s="27"/>
      <c r="R18" s="19"/>
      <c r="S18" s="19"/>
    </row>
    <row r="19">
      <c r="A19" s="12"/>
      <c r="B19" s="12"/>
      <c r="C19" s="12"/>
      <c r="D19" s="12"/>
      <c r="E19" s="12"/>
      <c r="G19" s="12"/>
      <c r="H19" s="12"/>
      <c r="I19" s="12"/>
      <c r="K19" s="18"/>
      <c r="L19" s="22"/>
      <c r="M19" s="75" t="s">
        <v>457</v>
      </c>
      <c r="N19" s="22">
        <v>10000.0</v>
      </c>
      <c r="O19" s="24"/>
      <c r="P19" s="24">
        <f t="shared" si="1"/>
        <v>10000.01</v>
      </c>
      <c r="Q19" s="27"/>
      <c r="R19" s="19"/>
      <c r="S19" s="19"/>
    </row>
    <row r="20">
      <c r="A20" s="12"/>
      <c r="B20" s="12"/>
      <c r="C20" s="12"/>
      <c r="D20" s="12"/>
      <c r="E20" s="12"/>
      <c r="G20" s="12"/>
      <c r="H20" s="12"/>
      <c r="I20" s="12"/>
      <c r="K20" s="18">
        <v>46217.0</v>
      </c>
      <c r="L20" s="22"/>
      <c r="M20" s="75" t="s">
        <v>434</v>
      </c>
      <c r="N20" s="22"/>
      <c r="O20" s="24">
        <v>150.0</v>
      </c>
      <c r="P20" s="24">
        <f t="shared" si="1"/>
        <v>9850.01</v>
      </c>
      <c r="Q20" s="27"/>
      <c r="R20" s="19"/>
      <c r="S20" s="19"/>
    </row>
    <row r="21">
      <c r="A21" s="12"/>
      <c r="B21" s="12"/>
      <c r="C21" s="12"/>
      <c r="D21" s="12"/>
      <c r="E21" s="12"/>
      <c r="G21" s="12"/>
      <c r="H21" s="12"/>
      <c r="I21" s="12"/>
      <c r="K21" s="18">
        <v>46217.0</v>
      </c>
      <c r="L21" s="22"/>
      <c r="M21" s="75" t="s">
        <v>189</v>
      </c>
      <c r="N21" s="22"/>
      <c r="O21" s="24">
        <v>150.0</v>
      </c>
      <c r="P21" s="24">
        <f t="shared" si="1"/>
        <v>9700.01</v>
      </c>
      <c r="Q21" s="27"/>
      <c r="R21" s="19"/>
      <c r="S21" s="19"/>
    </row>
    <row r="22">
      <c r="A22" s="12"/>
      <c r="B22" s="12"/>
      <c r="C22" s="12"/>
      <c r="D22" s="12"/>
      <c r="E22" s="12"/>
      <c r="G22" s="12"/>
      <c r="H22" s="12"/>
      <c r="I22" s="12"/>
      <c r="K22" s="18">
        <v>46219.0</v>
      </c>
      <c r="L22" s="22"/>
      <c r="M22" s="75" t="s">
        <v>119</v>
      </c>
      <c r="N22" s="22"/>
      <c r="O22" s="24">
        <v>314.0</v>
      </c>
      <c r="P22" s="24">
        <f t="shared" si="1"/>
        <v>9386.01</v>
      </c>
      <c r="Q22" s="27"/>
      <c r="R22" s="19"/>
      <c r="S22" s="19"/>
    </row>
    <row r="23">
      <c r="A23" s="12"/>
      <c r="B23" s="12"/>
      <c r="C23" s="12"/>
      <c r="D23" s="12"/>
      <c r="E23" s="12"/>
      <c r="G23" s="12"/>
      <c r="H23" s="12"/>
      <c r="I23" s="12"/>
      <c r="K23" s="18">
        <v>46219.0</v>
      </c>
      <c r="L23" s="22"/>
      <c r="M23" s="75" t="s">
        <v>123</v>
      </c>
      <c r="N23" s="22"/>
      <c r="O23" s="24">
        <v>85.0</v>
      </c>
      <c r="P23" s="24">
        <f t="shared" si="1"/>
        <v>9301.01</v>
      </c>
      <c r="Q23" s="27"/>
      <c r="R23" s="19"/>
      <c r="S23" s="19"/>
    </row>
    <row r="24">
      <c r="A24" s="12"/>
      <c r="B24" s="12"/>
      <c r="C24" s="12"/>
      <c r="D24" s="12"/>
      <c r="E24" s="12"/>
      <c r="G24" s="12"/>
      <c r="H24" s="12"/>
      <c r="I24" s="12"/>
      <c r="K24" s="18">
        <v>46219.0</v>
      </c>
      <c r="L24" s="22"/>
      <c r="M24" s="75" t="s">
        <v>117</v>
      </c>
      <c r="N24" s="22"/>
      <c r="O24" s="24">
        <v>229.0</v>
      </c>
      <c r="P24" s="24">
        <f t="shared" si="1"/>
        <v>9072.01</v>
      </c>
      <c r="Q24" s="27"/>
      <c r="R24" s="19"/>
      <c r="S24" s="19"/>
    </row>
    <row r="25">
      <c r="A25" s="12"/>
      <c r="B25" s="12"/>
      <c r="C25" s="12"/>
      <c r="D25" s="12"/>
      <c r="E25" s="12"/>
      <c r="G25" s="12"/>
      <c r="H25" s="12"/>
      <c r="I25" s="12"/>
      <c r="K25" s="18">
        <v>46224.0</v>
      </c>
      <c r="L25" s="22"/>
      <c r="M25" s="75" t="s">
        <v>271</v>
      </c>
      <c r="N25" s="22"/>
      <c r="O25" s="24">
        <v>150.0</v>
      </c>
      <c r="P25" s="24">
        <f t="shared" si="1"/>
        <v>8922.01</v>
      </c>
      <c r="Q25" s="27"/>
      <c r="R25" s="19"/>
      <c r="S25" s="19"/>
    </row>
    <row r="26">
      <c r="A26" s="12"/>
      <c r="B26" s="12"/>
      <c r="C26" s="12"/>
      <c r="D26" s="12"/>
      <c r="E26" s="12"/>
      <c r="G26" s="12"/>
      <c r="H26" s="12"/>
      <c r="I26" s="12"/>
      <c r="K26" s="18">
        <v>46224.0</v>
      </c>
      <c r="L26" s="22"/>
      <c r="M26" s="75" t="s">
        <v>235</v>
      </c>
      <c r="N26" s="22"/>
      <c r="O26" s="24">
        <v>150.0</v>
      </c>
      <c r="P26" s="24">
        <f t="shared" si="1"/>
        <v>8772.01</v>
      </c>
      <c r="Q26" s="27"/>
      <c r="R26" s="19"/>
      <c r="S26" s="19"/>
    </row>
    <row r="27">
      <c r="A27" s="12"/>
      <c r="B27" s="12"/>
      <c r="C27" s="12"/>
      <c r="D27" s="12"/>
      <c r="E27" s="12"/>
      <c r="G27" s="12"/>
      <c r="H27" s="12"/>
      <c r="I27" s="12"/>
      <c r="K27" s="18">
        <v>46225.0</v>
      </c>
      <c r="L27" s="22"/>
      <c r="M27" s="75" t="s">
        <v>271</v>
      </c>
      <c r="N27" s="22"/>
      <c r="O27" s="24">
        <v>314.0</v>
      </c>
      <c r="P27" s="24">
        <f t="shared" si="1"/>
        <v>8458.01</v>
      </c>
      <c r="Q27" s="27"/>
      <c r="R27" s="19"/>
      <c r="S27" s="19"/>
    </row>
    <row r="28">
      <c r="A28" s="12"/>
      <c r="B28" s="12"/>
      <c r="C28" s="12"/>
      <c r="D28" s="12"/>
      <c r="E28" s="12"/>
      <c r="G28" s="12"/>
      <c r="H28" s="12"/>
      <c r="I28" s="12"/>
      <c r="K28" s="18">
        <v>46225.0</v>
      </c>
      <c r="L28" s="22"/>
      <c r="M28" s="75" t="s">
        <v>411</v>
      </c>
      <c r="N28" s="22"/>
      <c r="O28" s="24">
        <v>119.0</v>
      </c>
      <c r="P28" s="24">
        <f t="shared" si="1"/>
        <v>8339.01</v>
      </c>
      <c r="Q28" s="27"/>
      <c r="R28" s="19"/>
      <c r="S28" s="19"/>
    </row>
    <row r="29">
      <c r="K29" s="18">
        <v>46225.0</v>
      </c>
      <c r="L29" s="22"/>
      <c r="M29" s="74" t="s">
        <v>460</v>
      </c>
      <c r="N29" s="22"/>
      <c r="O29" s="24">
        <v>85.0</v>
      </c>
      <c r="P29" s="24">
        <f t="shared" si="1"/>
        <v>8254.01</v>
      </c>
      <c r="Q29" s="27"/>
      <c r="R29" s="19"/>
      <c r="S29" s="19"/>
    </row>
    <row r="30">
      <c r="K30" s="18">
        <v>46225.0</v>
      </c>
      <c r="L30" s="22"/>
      <c r="M30" s="75" t="s">
        <v>369</v>
      </c>
      <c r="N30" s="22"/>
      <c r="O30" s="24">
        <v>229.0</v>
      </c>
      <c r="P30" s="24">
        <f t="shared" si="1"/>
        <v>8025.01</v>
      </c>
      <c r="Q30" s="27"/>
      <c r="R30" s="19"/>
      <c r="S30" s="19"/>
    </row>
    <row r="31">
      <c r="K31" s="18">
        <v>46225.0</v>
      </c>
      <c r="L31" s="22"/>
      <c r="M31" s="75" t="s">
        <v>119</v>
      </c>
      <c r="N31" s="22"/>
      <c r="O31" s="24">
        <v>314.0</v>
      </c>
      <c r="P31" s="24">
        <f t="shared" si="1"/>
        <v>7711.01</v>
      </c>
      <c r="Q31" s="27"/>
      <c r="R31" s="19"/>
      <c r="S31" s="19"/>
    </row>
    <row r="32">
      <c r="K32" s="18">
        <v>46225.0</v>
      </c>
      <c r="L32" s="22"/>
      <c r="M32" s="75" t="s">
        <v>311</v>
      </c>
      <c r="N32" s="22"/>
      <c r="O32" s="24">
        <v>85.0</v>
      </c>
      <c r="P32" s="24">
        <f t="shared" si="1"/>
        <v>7626.01</v>
      </c>
      <c r="Q32" s="27"/>
      <c r="R32" s="19"/>
      <c r="S32" s="19"/>
    </row>
    <row r="33">
      <c r="K33" s="18">
        <v>46225.0</v>
      </c>
      <c r="L33" s="22"/>
      <c r="M33" s="75" t="s">
        <v>160</v>
      </c>
      <c r="N33" s="22"/>
      <c r="O33" s="24">
        <v>229.0</v>
      </c>
      <c r="P33" s="24">
        <f t="shared" si="1"/>
        <v>7397.01</v>
      </c>
      <c r="Q33" s="27"/>
      <c r="R33" s="19"/>
      <c r="S33" s="19"/>
    </row>
    <row r="34">
      <c r="K34" s="18">
        <v>46228.0</v>
      </c>
      <c r="L34" s="22"/>
      <c r="M34" s="75" t="s">
        <v>98</v>
      </c>
      <c r="N34" s="22"/>
      <c r="O34" s="24">
        <v>40.0</v>
      </c>
      <c r="P34" s="24">
        <f t="shared" si="1"/>
        <v>7357.01</v>
      </c>
      <c r="Q34" s="27"/>
      <c r="R34" s="19"/>
      <c r="S34" s="19"/>
    </row>
    <row r="35">
      <c r="K35" s="18">
        <v>46228.0</v>
      </c>
      <c r="L35" s="22"/>
      <c r="M35" s="75" t="s">
        <v>397</v>
      </c>
      <c r="N35" s="22"/>
      <c r="O35" s="24">
        <v>125.0</v>
      </c>
      <c r="P35" s="24">
        <f t="shared" si="1"/>
        <v>7232.01</v>
      </c>
      <c r="Q35" s="27"/>
      <c r="R35" s="19"/>
      <c r="S35" s="19"/>
    </row>
    <row r="36">
      <c r="K36" s="18">
        <v>46230.0</v>
      </c>
      <c r="L36" s="22"/>
      <c r="M36" s="75" t="s">
        <v>277</v>
      </c>
      <c r="N36" s="22"/>
      <c r="O36" s="24">
        <v>314.0</v>
      </c>
      <c r="P36" s="24">
        <f t="shared" si="1"/>
        <v>6918.01</v>
      </c>
      <c r="Q36" s="27"/>
      <c r="R36" s="19"/>
      <c r="S36" s="19"/>
    </row>
    <row r="37">
      <c r="K37" s="18">
        <v>46230.0</v>
      </c>
      <c r="L37" s="22"/>
      <c r="M37" s="75" t="s">
        <v>105</v>
      </c>
      <c r="N37" s="22"/>
      <c r="O37" s="24">
        <v>85.0</v>
      </c>
      <c r="P37" s="24">
        <f t="shared" si="1"/>
        <v>6833.01</v>
      </c>
      <c r="Q37" s="27"/>
      <c r="R37" s="19"/>
      <c r="S37" s="19" t="s">
        <v>461</v>
      </c>
    </row>
    <row r="38">
      <c r="K38" s="18">
        <v>46230.0</v>
      </c>
      <c r="L38" s="22"/>
      <c r="M38" s="75" t="s">
        <v>367</v>
      </c>
      <c r="N38" s="22"/>
      <c r="O38" s="24">
        <v>229.0</v>
      </c>
      <c r="P38" s="24">
        <f t="shared" si="1"/>
        <v>6604.01</v>
      </c>
      <c r="Q38" s="27"/>
      <c r="R38" s="19"/>
      <c r="S38" s="19"/>
    </row>
    <row r="39">
      <c r="K39" s="18">
        <v>46232.0</v>
      </c>
      <c r="L39" s="22"/>
      <c r="M39" s="75" t="s">
        <v>271</v>
      </c>
      <c r="N39" s="22"/>
      <c r="O39" s="24">
        <v>339.0</v>
      </c>
      <c r="P39" s="24">
        <f t="shared" si="1"/>
        <v>6265.01</v>
      </c>
      <c r="Q39" s="27"/>
      <c r="R39" s="27"/>
      <c r="S39" s="27"/>
    </row>
    <row r="40">
      <c r="K40" s="18">
        <v>46232.0</v>
      </c>
      <c r="L40" s="22"/>
      <c r="M40" s="75" t="s">
        <v>250</v>
      </c>
      <c r="N40" s="22"/>
      <c r="O40" s="24">
        <v>339.0</v>
      </c>
      <c r="P40" s="24">
        <f t="shared" si="1"/>
        <v>5926.01</v>
      </c>
      <c r="Q40" s="27"/>
      <c r="R40" s="27"/>
      <c r="S40" s="27"/>
    </row>
    <row r="41">
      <c r="K41" s="18">
        <v>46233.0</v>
      </c>
      <c r="L41" s="22"/>
      <c r="M41" s="75" t="s">
        <v>462</v>
      </c>
      <c r="N41" s="22"/>
      <c r="O41" s="24">
        <v>126.0</v>
      </c>
      <c r="P41" s="24">
        <f t="shared" si="1"/>
        <v>5800.01</v>
      </c>
      <c r="Q41" s="27"/>
      <c r="R41" s="27"/>
      <c r="S41" s="27"/>
    </row>
    <row r="42">
      <c r="K42" s="18">
        <v>46234.0</v>
      </c>
      <c r="L42" s="22"/>
      <c r="M42" s="75" t="s">
        <v>258</v>
      </c>
      <c r="N42" s="22"/>
      <c r="O42" s="24">
        <v>126.0</v>
      </c>
      <c r="P42" s="24">
        <f t="shared" si="1"/>
        <v>5674.01</v>
      </c>
      <c r="Q42" s="27"/>
      <c r="R42" s="27"/>
      <c r="S42" s="27"/>
    </row>
    <row r="43">
      <c r="K43" s="18">
        <v>46235.0</v>
      </c>
      <c r="L43" s="22"/>
      <c r="M43" s="75" t="s">
        <v>326</v>
      </c>
      <c r="N43" s="22"/>
      <c r="O43" s="24">
        <v>150.0</v>
      </c>
      <c r="P43" s="24">
        <f t="shared" si="1"/>
        <v>5524.01</v>
      </c>
      <c r="Q43" s="27"/>
      <c r="R43" s="27"/>
      <c r="S43" s="27"/>
    </row>
    <row r="44">
      <c r="K44" s="18">
        <v>46235.0</v>
      </c>
      <c r="L44" s="22"/>
      <c r="M44" s="75" t="s">
        <v>189</v>
      </c>
      <c r="N44" s="22"/>
      <c r="O44" s="24">
        <v>150.0</v>
      </c>
      <c r="P44" s="24">
        <f t="shared" si="1"/>
        <v>5374.01</v>
      </c>
      <c r="Q44" s="27"/>
      <c r="R44" s="27"/>
      <c r="S44" s="27"/>
    </row>
    <row r="45">
      <c r="K45" s="18">
        <v>46239.0</v>
      </c>
      <c r="L45" s="22"/>
      <c r="M45" s="75" t="s">
        <v>271</v>
      </c>
      <c r="N45" s="22"/>
      <c r="O45" s="24">
        <v>39.0</v>
      </c>
      <c r="P45" s="24">
        <f t="shared" si="1"/>
        <v>5335.01</v>
      </c>
      <c r="Q45" s="27"/>
      <c r="R45" s="27"/>
      <c r="S45" s="27"/>
    </row>
    <row r="46">
      <c r="K46" s="18">
        <v>46245.0</v>
      </c>
      <c r="L46" s="22"/>
      <c r="M46" s="75" t="s">
        <v>255</v>
      </c>
      <c r="N46" s="22"/>
      <c r="O46" s="24">
        <v>314.0</v>
      </c>
      <c r="P46" s="24">
        <f t="shared" si="1"/>
        <v>5021.01</v>
      </c>
      <c r="Q46" s="27"/>
      <c r="R46" s="27"/>
      <c r="S46" s="27"/>
    </row>
    <row r="47">
      <c r="K47" s="18">
        <v>46245.0</v>
      </c>
      <c r="L47" s="22"/>
      <c r="M47" s="75" t="s">
        <v>123</v>
      </c>
      <c r="N47" s="22"/>
      <c r="O47" s="24">
        <v>85.0</v>
      </c>
      <c r="P47" s="24">
        <f t="shared" si="1"/>
        <v>4936.01</v>
      </c>
      <c r="Q47" s="27"/>
      <c r="R47" s="27"/>
      <c r="S47" s="27"/>
    </row>
    <row r="48">
      <c r="K48" s="18">
        <v>46245.0</v>
      </c>
      <c r="L48" s="22"/>
      <c r="M48" s="75" t="s">
        <v>91</v>
      </c>
      <c r="N48" s="22"/>
      <c r="O48" s="24">
        <v>229.0</v>
      </c>
      <c r="P48" s="24">
        <f t="shared" si="1"/>
        <v>4707.01</v>
      </c>
      <c r="Q48" s="27"/>
      <c r="R48" s="27"/>
      <c r="S48" s="27"/>
    </row>
    <row r="49">
      <c r="K49" s="18">
        <v>46269.0</v>
      </c>
      <c r="L49" s="22"/>
      <c r="M49" s="75" t="s">
        <v>119</v>
      </c>
      <c r="N49" s="22"/>
      <c r="O49" s="24">
        <v>314.0</v>
      </c>
      <c r="P49" s="24">
        <f t="shared" si="1"/>
        <v>4393.01</v>
      </c>
      <c r="Q49" s="27"/>
      <c r="R49" s="27"/>
      <c r="S49" s="27"/>
    </row>
    <row r="50">
      <c r="K50" s="18">
        <v>46269.0</v>
      </c>
      <c r="L50" s="22"/>
      <c r="M50" s="75" t="s">
        <v>55</v>
      </c>
      <c r="N50" s="22"/>
      <c r="O50" s="24">
        <v>85.0</v>
      </c>
      <c r="P50" s="24">
        <f t="shared" si="1"/>
        <v>4308.01</v>
      </c>
      <c r="Q50" s="27"/>
      <c r="R50" s="27"/>
      <c r="S50" s="27"/>
    </row>
    <row r="51">
      <c r="K51" s="18">
        <v>46269.0</v>
      </c>
      <c r="L51" s="22"/>
      <c r="M51" s="75" t="s">
        <v>464</v>
      </c>
      <c r="N51" s="22"/>
      <c r="O51" s="24">
        <v>25.0</v>
      </c>
      <c r="P51" s="24">
        <f t="shared" si="1"/>
        <v>4283.01</v>
      </c>
      <c r="Q51" s="27"/>
      <c r="R51" s="27"/>
      <c r="S51" s="27"/>
    </row>
    <row r="52">
      <c r="K52" s="18">
        <v>46269.0</v>
      </c>
      <c r="L52" s="22"/>
      <c r="M52" s="75" t="s">
        <v>90</v>
      </c>
      <c r="N52" s="22"/>
      <c r="O52" s="24">
        <v>204.0</v>
      </c>
      <c r="P52" s="24">
        <f t="shared" si="1"/>
        <v>4079.01</v>
      </c>
      <c r="Q52" s="27"/>
      <c r="R52" s="27"/>
      <c r="S52" s="27"/>
    </row>
    <row r="53">
      <c r="K53" s="18">
        <v>46270.0</v>
      </c>
      <c r="L53" s="22"/>
      <c r="M53" s="75" t="s">
        <v>119</v>
      </c>
      <c r="N53" s="22">
        <v>113.0</v>
      </c>
      <c r="O53" s="24"/>
      <c r="P53" s="24">
        <f t="shared" si="1"/>
        <v>4192.01</v>
      </c>
      <c r="Q53" s="27"/>
      <c r="R53" s="27"/>
      <c r="S53" s="27"/>
    </row>
    <row r="54">
      <c r="K54" s="18">
        <v>46270.0</v>
      </c>
      <c r="L54" s="22"/>
      <c r="M54" s="75" t="s">
        <v>465</v>
      </c>
      <c r="N54" s="22">
        <v>113.0</v>
      </c>
      <c r="O54" s="24"/>
      <c r="P54" s="24">
        <f t="shared" si="1"/>
        <v>4305.01</v>
      </c>
      <c r="Q54" s="27"/>
      <c r="R54" s="27"/>
      <c r="S54" s="27"/>
    </row>
    <row r="55">
      <c r="K55" s="18">
        <v>46272.0</v>
      </c>
      <c r="L55" s="22"/>
      <c r="M55" s="75" t="s">
        <v>466</v>
      </c>
      <c r="N55" s="22"/>
      <c r="O55" s="24">
        <v>314.0</v>
      </c>
      <c r="P55" s="24">
        <f t="shared" si="1"/>
        <v>3991.01</v>
      </c>
      <c r="Q55" s="27"/>
      <c r="R55" s="27"/>
      <c r="S55" s="27"/>
    </row>
    <row r="56">
      <c r="K56" s="18">
        <v>46272.0</v>
      </c>
      <c r="L56" s="22"/>
      <c r="M56" s="75" t="s">
        <v>123</v>
      </c>
      <c r="N56" s="22"/>
      <c r="O56" s="24">
        <v>85.0</v>
      </c>
      <c r="P56" s="24">
        <f t="shared" si="1"/>
        <v>3906.01</v>
      </c>
      <c r="Q56" s="27"/>
      <c r="R56" s="27"/>
      <c r="S56" s="27"/>
    </row>
    <row r="57">
      <c r="K57" s="18">
        <v>46272.0</v>
      </c>
      <c r="L57" s="22"/>
      <c r="M57" s="75" t="s">
        <v>468</v>
      </c>
      <c r="N57" s="22"/>
      <c r="O57" s="24">
        <v>11.0</v>
      </c>
      <c r="P57" s="24">
        <f t="shared" si="1"/>
        <v>3895.01</v>
      </c>
      <c r="Q57" s="27"/>
      <c r="R57" s="27"/>
      <c r="S57" s="27"/>
    </row>
    <row r="58">
      <c r="K58" s="18">
        <v>46272.0</v>
      </c>
      <c r="L58" s="22"/>
      <c r="M58" s="75" t="s">
        <v>470</v>
      </c>
      <c r="N58" s="22"/>
      <c r="O58" s="24">
        <v>204.0</v>
      </c>
      <c r="P58" s="24">
        <f t="shared" si="1"/>
        <v>3691.01</v>
      </c>
      <c r="Q58" s="27"/>
      <c r="R58" s="27"/>
      <c r="S58" s="27"/>
    </row>
    <row r="59">
      <c r="K59" s="18">
        <v>46273.0</v>
      </c>
      <c r="L59" s="22"/>
      <c r="M59" s="75" t="s">
        <v>119</v>
      </c>
      <c r="N59" s="22">
        <v>113.0</v>
      </c>
      <c r="O59" s="24"/>
      <c r="P59" s="24">
        <f t="shared" si="1"/>
        <v>3804.01</v>
      </c>
      <c r="Q59" s="27"/>
      <c r="R59" s="27"/>
      <c r="S59" s="27"/>
    </row>
    <row r="60">
      <c r="K60" s="18">
        <v>46273.0</v>
      </c>
      <c r="L60" s="22"/>
      <c r="M60" s="75" t="s">
        <v>471</v>
      </c>
      <c r="N60" s="22">
        <v>113.0</v>
      </c>
      <c r="O60" s="24"/>
      <c r="P60" s="24">
        <f t="shared" si="1"/>
        <v>3917.01</v>
      </c>
      <c r="Q60" s="27"/>
      <c r="R60" s="27"/>
      <c r="S60" s="27"/>
    </row>
    <row r="61">
      <c r="K61" s="18">
        <v>46280.0</v>
      </c>
      <c r="L61" s="22"/>
      <c r="M61" s="75" t="s">
        <v>472</v>
      </c>
      <c r="N61" s="22"/>
      <c r="O61" s="24">
        <v>314.0</v>
      </c>
      <c r="P61" s="24">
        <f t="shared" si="1"/>
        <v>3603.01</v>
      </c>
      <c r="Q61" s="27"/>
      <c r="R61" s="27"/>
      <c r="S61" s="27"/>
    </row>
    <row r="62">
      <c r="K62" s="18">
        <v>46280.0</v>
      </c>
      <c r="L62" s="69"/>
      <c r="M62" s="75" t="s">
        <v>175</v>
      </c>
      <c r="N62" s="69"/>
      <c r="O62" s="22">
        <v>85.0</v>
      </c>
      <c r="P62" s="24">
        <f t="shared" si="1"/>
        <v>3518.01</v>
      </c>
      <c r="Q62" s="12"/>
      <c r="R62" s="12"/>
      <c r="S62" s="12"/>
    </row>
    <row r="63">
      <c r="K63" s="18">
        <v>46280.0</v>
      </c>
      <c r="L63" s="69"/>
      <c r="M63" s="63" t="s">
        <v>464</v>
      </c>
      <c r="N63" s="69"/>
      <c r="O63" s="22">
        <v>229.0</v>
      </c>
      <c r="P63" s="24">
        <f t="shared" si="1"/>
        <v>3289.01</v>
      </c>
      <c r="Q63" s="12"/>
      <c r="R63" s="12"/>
      <c r="S63" s="12"/>
    </row>
    <row r="64">
      <c r="K64" s="18">
        <v>46287.0</v>
      </c>
      <c r="L64" s="69"/>
      <c r="M64" s="63" t="s">
        <v>271</v>
      </c>
      <c r="N64" s="69"/>
      <c r="O64" s="22">
        <v>314.0</v>
      </c>
      <c r="P64" s="24">
        <f t="shared" si="1"/>
        <v>2975.01</v>
      </c>
      <c r="Q64" s="12"/>
      <c r="R64" s="12"/>
      <c r="S64" s="12"/>
    </row>
    <row r="65">
      <c r="K65" s="18">
        <v>46287.0</v>
      </c>
      <c r="L65" s="69"/>
      <c r="M65" s="63" t="s">
        <v>473</v>
      </c>
      <c r="N65" s="69"/>
      <c r="O65" s="22">
        <v>85.0</v>
      </c>
      <c r="P65" s="24">
        <f t="shared" si="1"/>
        <v>2890.01</v>
      </c>
      <c r="Q65" s="12"/>
      <c r="R65" s="12"/>
      <c r="S65" s="12"/>
    </row>
    <row r="66">
      <c r="K66" s="18">
        <v>46287.0</v>
      </c>
      <c r="L66" s="69"/>
      <c r="M66" s="63" t="s">
        <v>464</v>
      </c>
      <c r="N66" s="69"/>
      <c r="O66" s="22">
        <v>229.0</v>
      </c>
      <c r="P66" s="24">
        <f t="shared" si="1"/>
        <v>2661.01</v>
      </c>
      <c r="Q66" s="12"/>
      <c r="R66" s="12"/>
      <c r="S66" s="12"/>
    </row>
    <row r="67">
      <c r="K67" s="18">
        <v>46289.0</v>
      </c>
      <c r="L67" s="69"/>
      <c r="M67" s="63" t="s">
        <v>271</v>
      </c>
      <c r="N67" s="69"/>
      <c r="O67" s="22">
        <v>314.0</v>
      </c>
      <c r="P67" s="24">
        <f t="shared" si="1"/>
        <v>2347.01</v>
      </c>
      <c r="Q67" s="12"/>
      <c r="R67" s="12"/>
      <c r="S67" s="12"/>
    </row>
    <row r="68">
      <c r="K68" s="18">
        <v>46289.0</v>
      </c>
      <c r="L68" s="69"/>
      <c r="M68" s="63" t="s">
        <v>55</v>
      </c>
      <c r="N68" s="69"/>
      <c r="O68" s="22">
        <v>85.0</v>
      </c>
      <c r="P68" s="24">
        <f t="shared" si="1"/>
        <v>2262.01</v>
      </c>
      <c r="Q68" s="12"/>
      <c r="R68" s="12"/>
      <c r="S68" s="12"/>
    </row>
    <row r="69">
      <c r="K69" s="18">
        <v>46289.0</v>
      </c>
      <c r="L69" s="69"/>
      <c r="M69" s="63" t="s">
        <v>468</v>
      </c>
      <c r="N69" s="69"/>
      <c r="O69" s="22">
        <v>229.0</v>
      </c>
      <c r="P69" s="24">
        <f t="shared" si="1"/>
        <v>2033.01</v>
      </c>
      <c r="Q69" s="12"/>
      <c r="R69" s="12"/>
      <c r="S69" s="12"/>
    </row>
    <row r="70">
      <c r="K70" s="18">
        <v>46294.0</v>
      </c>
      <c r="L70" s="69"/>
      <c r="M70" s="63" t="s">
        <v>474</v>
      </c>
      <c r="N70" s="69"/>
      <c r="O70" s="22">
        <v>136.0</v>
      </c>
      <c r="P70" s="24">
        <f t="shared" si="1"/>
        <v>1897.01</v>
      </c>
      <c r="Q70" s="12"/>
      <c r="R70" s="12"/>
      <c r="S70" s="12"/>
    </row>
    <row r="71">
      <c r="K71" s="18">
        <v>46300.0</v>
      </c>
      <c r="L71" s="69"/>
      <c r="M71" s="63" t="s">
        <v>277</v>
      </c>
      <c r="N71" s="69"/>
      <c r="O71" s="22">
        <v>152.0</v>
      </c>
      <c r="P71" s="24">
        <f t="shared" si="1"/>
        <v>1745.01</v>
      </c>
      <c r="Q71" s="12"/>
      <c r="R71" s="12"/>
      <c r="S71" s="12"/>
    </row>
    <row r="72">
      <c r="K72" s="18">
        <v>46300.0</v>
      </c>
      <c r="L72" s="69"/>
      <c r="M72" s="63" t="s">
        <v>346</v>
      </c>
      <c r="N72" s="69"/>
      <c r="O72" s="22">
        <v>113.0</v>
      </c>
      <c r="P72" s="24">
        <f t="shared" si="1"/>
        <v>1632.01</v>
      </c>
      <c r="Q72" s="12"/>
      <c r="R72" s="12"/>
      <c r="S72" s="12"/>
    </row>
    <row r="73">
      <c r="K73" s="18">
        <v>46301.0</v>
      </c>
      <c r="L73" s="69"/>
      <c r="M73" s="63" t="s">
        <v>251</v>
      </c>
      <c r="N73" s="69"/>
      <c r="O73" s="22">
        <v>314.0</v>
      </c>
      <c r="P73" s="24">
        <f t="shared" si="1"/>
        <v>1318.01</v>
      </c>
      <c r="Q73" s="12"/>
      <c r="R73" s="12"/>
      <c r="S73" s="12"/>
    </row>
    <row r="74">
      <c r="K74" s="18">
        <v>46301.0</v>
      </c>
      <c r="L74" s="69"/>
      <c r="M74" s="63" t="s">
        <v>201</v>
      </c>
      <c r="N74" s="69"/>
      <c r="O74" s="22">
        <v>129.0</v>
      </c>
      <c r="P74" s="24">
        <f t="shared" si="1"/>
        <v>1189.01</v>
      </c>
      <c r="Q74" s="12"/>
      <c r="R74" s="12"/>
      <c r="S74" s="12"/>
    </row>
    <row r="75">
      <c r="K75" s="18">
        <v>46301.0</v>
      </c>
      <c r="L75" s="69"/>
      <c r="M75" s="63" t="s">
        <v>475</v>
      </c>
      <c r="N75" s="69"/>
      <c r="O75" s="22">
        <v>170.0</v>
      </c>
      <c r="P75" s="24">
        <f t="shared" si="1"/>
        <v>1019.01</v>
      </c>
      <c r="Q75" s="12"/>
      <c r="R75" s="12"/>
      <c r="S75" s="12"/>
    </row>
    <row r="76">
      <c r="K76" s="18">
        <v>46301.0</v>
      </c>
      <c r="L76" s="69"/>
      <c r="M76" s="63" t="s">
        <v>476</v>
      </c>
      <c r="N76" s="69"/>
      <c r="O76" s="22">
        <v>35.0</v>
      </c>
      <c r="P76" s="24">
        <f t="shared" si="1"/>
        <v>984.01</v>
      </c>
      <c r="Q76" s="12"/>
      <c r="R76" s="12"/>
      <c r="S76" s="12"/>
    </row>
    <row r="77">
      <c r="K77" s="18">
        <v>46301.0</v>
      </c>
      <c r="L77" s="69"/>
      <c r="M77" s="63" t="s">
        <v>477</v>
      </c>
      <c r="N77" s="69"/>
      <c r="O77" s="22">
        <v>105.0</v>
      </c>
      <c r="P77" s="24">
        <f t="shared" si="1"/>
        <v>879.01</v>
      </c>
      <c r="Q77" s="12"/>
      <c r="R77" s="12"/>
      <c r="S77" s="12"/>
    </row>
    <row r="78">
      <c r="K78" s="18">
        <v>46301.0</v>
      </c>
      <c r="L78" s="69"/>
      <c r="M78" s="63" t="s">
        <v>478</v>
      </c>
      <c r="N78" s="69"/>
      <c r="O78" s="22">
        <v>85.0</v>
      </c>
      <c r="P78" s="24">
        <f t="shared" si="1"/>
        <v>794.01</v>
      </c>
      <c r="Q78" s="12"/>
      <c r="R78" s="12"/>
      <c r="S78" s="12"/>
    </row>
    <row r="79">
      <c r="K79" s="18">
        <v>46301.0</v>
      </c>
      <c r="L79" s="69"/>
      <c r="M79" s="63" t="s">
        <v>160</v>
      </c>
      <c r="N79" s="69"/>
      <c r="O79" s="22">
        <v>229.0</v>
      </c>
      <c r="P79" s="24">
        <f t="shared" si="1"/>
        <v>565.01</v>
      </c>
      <c r="Q79" s="12"/>
      <c r="R79" s="12"/>
      <c r="S79" s="12"/>
    </row>
    <row r="80">
      <c r="K80" s="18">
        <v>46302.0</v>
      </c>
      <c r="L80" s="69"/>
      <c r="M80" s="63" t="s">
        <v>167</v>
      </c>
      <c r="N80" s="69"/>
      <c r="O80" s="22">
        <v>113.0</v>
      </c>
      <c r="P80" s="24">
        <f t="shared" si="1"/>
        <v>452.01</v>
      </c>
      <c r="Q80" s="12"/>
      <c r="R80" s="12"/>
      <c r="S80" s="12"/>
    </row>
    <row r="81">
      <c r="K81" s="18">
        <v>46302.0</v>
      </c>
      <c r="L81" s="69"/>
      <c r="M81" s="63" t="s">
        <v>346</v>
      </c>
      <c r="N81" s="69"/>
      <c r="O81" s="22">
        <v>96.0</v>
      </c>
      <c r="P81" s="24">
        <f t="shared" si="1"/>
        <v>356.01</v>
      </c>
      <c r="Q81" s="12"/>
      <c r="R81" s="12"/>
      <c r="S81" s="12"/>
    </row>
    <row r="82">
      <c r="K82" s="18">
        <v>46303.0</v>
      </c>
      <c r="L82" s="22"/>
      <c r="M82" s="63" t="s">
        <v>255</v>
      </c>
      <c r="N82" s="22">
        <v>988.0</v>
      </c>
      <c r="O82" s="69"/>
      <c r="P82" s="24">
        <f t="shared" si="1"/>
        <v>1344.01</v>
      </c>
      <c r="Q82" s="12"/>
      <c r="R82" s="12"/>
      <c r="S82" s="12"/>
    </row>
    <row r="83">
      <c r="K83" s="18">
        <v>46306.0</v>
      </c>
      <c r="L83" s="69"/>
      <c r="M83" s="63" t="s">
        <v>479</v>
      </c>
      <c r="N83" s="69"/>
      <c r="O83" s="22">
        <v>399.0</v>
      </c>
      <c r="P83" s="24">
        <f t="shared" si="1"/>
        <v>945.01</v>
      </c>
      <c r="Q83" s="12"/>
      <c r="R83" s="12"/>
      <c r="S83" s="12"/>
    </row>
    <row r="84">
      <c r="K84" s="18">
        <v>46306.0</v>
      </c>
      <c r="L84" s="69"/>
      <c r="M84" s="63" t="s">
        <v>282</v>
      </c>
      <c r="N84" s="69"/>
      <c r="O84" s="22">
        <v>129.0</v>
      </c>
      <c r="P84" s="24">
        <f t="shared" si="1"/>
        <v>816.01</v>
      </c>
      <c r="Q84" s="12"/>
      <c r="R84" s="12"/>
      <c r="S84" s="12"/>
    </row>
    <row r="85">
      <c r="K85" s="18">
        <v>46306.0</v>
      </c>
      <c r="L85" s="69"/>
      <c r="M85" s="63" t="s">
        <v>451</v>
      </c>
      <c r="N85" s="69"/>
      <c r="O85" s="22">
        <v>129.0</v>
      </c>
      <c r="P85" s="24">
        <f t="shared" si="1"/>
        <v>687.01</v>
      </c>
      <c r="Q85" s="12"/>
      <c r="R85" s="12"/>
      <c r="S85" s="12"/>
    </row>
    <row r="86">
      <c r="K86" s="18">
        <v>46306.0</v>
      </c>
      <c r="L86" s="69"/>
      <c r="M86" s="63" t="s">
        <v>480</v>
      </c>
      <c r="N86" s="69"/>
      <c r="O86" s="22">
        <v>85.0</v>
      </c>
      <c r="P86" s="24">
        <f t="shared" si="1"/>
        <v>602.01</v>
      </c>
      <c r="Q86" s="12"/>
      <c r="R86" s="12"/>
      <c r="S86" s="12"/>
    </row>
    <row r="87">
      <c r="K87" s="18">
        <v>46306.0</v>
      </c>
      <c r="L87" s="69"/>
      <c r="M87" s="63" t="s">
        <v>481</v>
      </c>
      <c r="N87" s="69"/>
      <c r="O87" s="22">
        <v>314.0</v>
      </c>
      <c r="P87" s="24">
        <f t="shared" si="1"/>
        <v>288.01</v>
      </c>
      <c r="Q87" s="12"/>
      <c r="R87" s="12"/>
      <c r="S87" s="12"/>
    </row>
    <row r="88">
      <c r="K88" s="18">
        <v>46311.0</v>
      </c>
      <c r="L88" s="69"/>
      <c r="M88" s="63" t="s">
        <v>136</v>
      </c>
      <c r="N88" s="69"/>
      <c r="O88" s="22">
        <v>113.0</v>
      </c>
      <c r="P88" s="24">
        <f t="shared" si="1"/>
        <v>175.01</v>
      </c>
      <c r="Q88" s="12"/>
      <c r="R88" s="12"/>
      <c r="S88" s="12"/>
    </row>
    <row r="89">
      <c r="K89" s="18">
        <v>46294.0</v>
      </c>
      <c r="L89" s="69"/>
      <c r="M89" s="63" t="s">
        <v>457</v>
      </c>
      <c r="N89" s="69"/>
      <c r="O89" s="69"/>
      <c r="P89" s="24">
        <f t="shared" si="1"/>
        <v>175.01</v>
      </c>
      <c r="Q89" s="12"/>
      <c r="R89" s="12"/>
      <c r="S89" s="12"/>
    </row>
    <row r="90">
      <c r="K90" s="18">
        <v>46294.0</v>
      </c>
      <c r="L90" s="69"/>
      <c r="M90" s="69"/>
      <c r="N90" s="69"/>
      <c r="O90" s="69"/>
      <c r="P90" s="24">
        <f t="shared" si="1"/>
        <v>175.01</v>
      </c>
      <c r="Q90" s="12"/>
      <c r="R90" s="12"/>
      <c r="S90" s="12"/>
    </row>
    <row r="91">
      <c r="K91" s="18">
        <v>46294.0</v>
      </c>
      <c r="L91" s="69"/>
      <c r="M91" s="69"/>
      <c r="N91" s="69"/>
      <c r="O91" s="69"/>
      <c r="P91" s="24">
        <f t="shared" si="1"/>
        <v>175.01</v>
      </c>
      <c r="Q91" s="12"/>
      <c r="R91" s="12"/>
      <c r="S91" s="12"/>
    </row>
    <row r="92">
      <c r="K92" s="18">
        <v>46294.0</v>
      </c>
      <c r="L92" s="69"/>
      <c r="M92" s="69"/>
      <c r="N92" s="69"/>
      <c r="O92" s="69"/>
      <c r="P92" s="24">
        <f t="shared" si="1"/>
        <v>175.01</v>
      </c>
      <c r="Q92" s="12"/>
      <c r="R92" s="12"/>
      <c r="S92" s="12"/>
    </row>
    <row r="93">
      <c r="K93" s="18">
        <v>46294.0</v>
      </c>
      <c r="L93" s="69"/>
      <c r="M93" s="69"/>
      <c r="N93" s="69"/>
      <c r="O93" s="69"/>
      <c r="P93" s="24">
        <f t="shared" si="1"/>
        <v>175.01</v>
      </c>
      <c r="Q93" s="12"/>
      <c r="R93" s="12"/>
      <c r="S93" s="12"/>
    </row>
    <row r="94">
      <c r="K94" s="18">
        <v>46294.0</v>
      </c>
      <c r="L94" s="69"/>
      <c r="M94" s="69"/>
      <c r="N94" s="69"/>
      <c r="O94" s="69"/>
      <c r="P94" s="24">
        <f t="shared" si="1"/>
        <v>175.01</v>
      </c>
      <c r="Q94" s="12"/>
      <c r="R94" s="12"/>
      <c r="S94" s="12"/>
    </row>
    <row r="95">
      <c r="K95" s="18">
        <v>46294.0</v>
      </c>
      <c r="L95" s="69"/>
      <c r="M95" s="69"/>
      <c r="N95" s="69"/>
      <c r="O95" s="69"/>
      <c r="P95" s="24">
        <f t="shared" si="1"/>
        <v>175.01</v>
      </c>
      <c r="Q95" s="12"/>
      <c r="R95" s="12"/>
      <c r="S95" s="12"/>
    </row>
    <row r="96">
      <c r="K96" s="18">
        <v>46294.0</v>
      </c>
      <c r="L96" s="69"/>
      <c r="M96" s="69"/>
      <c r="N96" s="69"/>
      <c r="O96" s="69"/>
      <c r="P96" s="24">
        <f t="shared" si="1"/>
        <v>175.01</v>
      </c>
      <c r="Q96" s="12"/>
      <c r="R96" s="12"/>
      <c r="S96" s="12"/>
    </row>
    <row r="97">
      <c r="K97" s="69"/>
      <c r="L97" s="69"/>
      <c r="M97" s="69"/>
      <c r="N97" s="69"/>
      <c r="O97" s="69"/>
      <c r="P97" s="69"/>
      <c r="Q97" s="12"/>
      <c r="R97" s="12"/>
      <c r="S97" s="12"/>
    </row>
    <row r="98">
      <c r="K98" s="69"/>
      <c r="L98" s="69"/>
      <c r="M98" s="69"/>
      <c r="N98" s="69"/>
      <c r="O98" s="69"/>
      <c r="P98" s="69"/>
      <c r="Q98" s="12"/>
      <c r="R98" s="12"/>
      <c r="S98" s="12"/>
    </row>
    <row r="99">
      <c r="K99" s="69"/>
      <c r="L99" s="69"/>
      <c r="M99" s="69"/>
      <c r="N99" s="69"/>
      <c r="O99" s="69"/>
      <c r="P99" s="69"/>
      <c r="Q99" s="12"/>
      <c r="R99" s="12"/>
      <c r="S99" s="12"/>
    </row>
    <row r="100">
      <c r="K100" s="69"/>
      <c r="L100" s="69"/>
      <c r="M100" s="69"/>
      <c r="N100" s="69"/>
      <c r="O100" s="69"/>
      <c r="P100" s="69"/>
      <c r="Q100" s="12"/>
      <c r="R100" s="12"/>
      <c r="S100" s="12"/>
    </row>
    <row r="101">
      <c r="K101" s="69"/>
      <c r="L101" s="69"/>
      <c r="M101" s="69"/>
      <c r="N101" s="69"/>
      <c r="O101" s="69"/>
      <c r="P101" s="69"/>
      <c r="Q101" s="12"/>
      <c r="R101" s="12"/>
      <c r="S101" s="12"/>
    </row>
    <row r="102">
      <c r="K102" s="69"/>
      <c r="L102" s="69"/>
      <c r="M102" s="69"/>
      <c r="N102" s="69"/>
      <c r="O102" s="69"/>
      <c r="P102" s="69"/>
      <c r="Q102" s="12"/>
      <c r="R102" s="12"/>
      <c r="S102" s="12"/>
    </row>
    <row r="103">
      <c r="K103" s="69"/>
      <c r="L103" s="69"/>
      <c r="M103" s="69"/>
      <c r="N103" s="69"/>
      <c r="O103" s="69"/>
      <c r="P103" s="69"/>
      <c r="Q103" s="12"/>
      <c r="R103" s="12"/>
      <c r="S103" s="12"/>
    </row>
    <row r="104">
      <c r="K104" s="69"/>
      <c r="L104" s="69"/>
      <c r="M104" s="69"/>
      <c r="N104" s="69"/>
      <c r="O104" s="69"/>
      <c r="P104" s="69"/>
      <c r="Q104" s="12"/>
      <c r="R104" s="12"/>
      <c r="S104" s="12"/>
    </row>
    <row r="105">
      <c r="K105" s="69"/>
      <c r="L105" s="69"/>
      <c r="M105" s="69"/>
      <c r="N105" s="69"/>
      <c r="O105" s="69"/>
      <c r="P105" s="69"/>
      <c r="Q105" s="12"/>
      <c r="R105" s="12"/>
      <c r="S105" s="12"/>
    </row>
    <row r="106">
      <c r="K106" s="69"/>
      <c r="L106" s="69"/>
      <c r="M106" s="69"/>
      <c r="N106" s="69"/>
      <c r="O106" s="69"/>
      <c r="P106" s="69"/>
      <c r="Q106" s="12"/>
      <c r="R106" s="12"/>
      <c r="S106" s="12"/>
    </row>
    <row r="107">
      <c r="K107" s="69"/>
      <c r="L107" s="69"/>
      <c r="M107" s="69"/>
      <c r="N107" s="69"/>
      <c r="O107" s="69"/>
      <c r="P107" s="69"/>
      <c r="Q107" s="12"/>
      <c r="R107" s="12"/>
      <c r="S107" s="12"/>
    </row>
    <row r="108">
      <c r="K108" s="69"/>
      <c r="L108" s="69"/>
      <c r="M108" s="69"/>
      <c r="N108" s="69"/>
      <c r="O108" s="69"/>
      <c r="P108" s="69"/>
      <c r="Q108" s="12"/>
      <c r="R108" s="12"/>
      <c r="S108" s="12"/>
    </row>
    <row r="109">
      <c r="K109" s="69"/>
      <c r="L109" s="69"/>
      <c r="M109" s="69"/>
      <c r="N109" s="69"/>
      <c r="O109" s="69"/>
      <c r="P109" s="69"/>
      <c r="Q109" s="12"/>
      <c r="R109" s="12"/>
      <c r="S109" s="12"/>
    </row>
    <row r="110">
      <c r="K110" s="69"/>
      <c r="L110" s="69"/>
      <c r="M110" s="69"/>
      <c r="N110" s="69"/>
      <c r="O110" s="69"/>
      <c r="P110" s="69"/>
      <c r="Q110" s="12"/>
      <c r="R110" s="12"/>
      <c r="S110" s="12"/>
    </row>
    <row r="111">
      <c r="K111" s="69"/>
      <c r="L111" s="69"/>
      <c r="M111" s="69"/>
      <c r="N111" s="69"/>
      <c r="O111" s="69"/>
      <c r="P111" s="69"/>
      <c r="Q111" s="12"/>
      <c r="R111" s="12"/>
      <c r="S111" s="12"/>
    </row>
    <row r="112">
      <c r="K112" s="69"/>
      <c r="L112" s="69"/>
      <c r="M112" s="69"/>
      <c r="N112" s="69"/>
      <c r="O112" s="69"/>
      <c r="P112" s="69"/>
      <c r="Q112" s="12"/>
      <c r="R112" s="12"/>
      <c r="S112" s="12"/>
    </row>
    <row r="113">
      <c r="K113" s="69"/>
      <c r="L113" s="69"/>
      <c r="M113" s="69"/>
      <c r="N113" s="69"/>
      <c r="O113" s="69"/>
      <c r="P113" s="69"/>
      <c r="Q113" s="12"/>
      <c r="R113" s="12"/>
      <c r="S113" s="12"/>
    </row>
    <row r="114">
      <c r="K114" s="69"/>
      <c r="L114" s="69"/>
      <c r="M114" s="69"/>
      <c r="N114" s="69"/>
      <c r="O114" s="69"/>
      <c r="P114" s="69"/>
      <c r="Q114" s="12"/>
      <c r="R114" s="12"/>
      <c r="S114" s="12"/>
    </row>
    <row r="115">
      <c r="K115" s="69"/>
      <c r="L115" s="69"/>
      <c r="M115" s="69"/>
      <c r="N115" s="69"/>
      <c r="O115" s="69"/>
      <c r="P115" s="69"/>
      <c r="Q115" s="12"/>
      <c r="R115" s="12"/>
      <c r="S115" s="12"/>
    </row>
    <row r="116">
      <c r="K116" s="69"/>
      <c r="L116" s="69"/>
      <c r="M116" s="69"/>
      <c r="N116" s="69"/>
      <c r="O116" s="69"/>
      <c r="P116" s="69"/>
      <c r="Q116" s="12"/>
      <c r="R116" s="12"/>
      <c r="S116" s="12"/>
    </row>
    <row r="117">
      <c r="K117" s="69"/>
      <c r="L117" s="69"/>
      <c r="M117" s="69"/>
      <c r="N117" s="69"/>
      <c r="O117" s="69"/>
      <c r="P117" s="69"/>
      <c r="Q117" s="12"/>
      <c r="R117" s="12"/>
      <c r="S117" s="12"/>
    </row>
    <row r="118">
      <c r="K118" s="69"/>
      <c r="L118" s="69"/>
      <c r="M118" s="69"/>
      <c r="N118" s="69"/>
      <c r="O118" s="69"/>
      <c r="P118" s="69"/>
      <c r="Q118" s="12"/>
      <c r="R118" s="12"/>
      <c r="S118" s="12"/>
    </row>
    <row r="119">
      <c r="K119" s="69"/>
      <c r="L119" s="69"/>
      <c r="M119" s="69"/>
      <c r="N119" s="69"/>
      <c r="O119" s="69"/>
      <c r="P119" s="69"/>
      <c r="Q119" s="12"/>
      <c r="R119" s="12"/>
      <c r="S119" s="12"/>
    </row>
    <row r="120">
      <c r="K120" s="69"/>
      <c r="L120" s="69"/>
      <c r="M120" s="69"/>
      <c r="N120" s="69"/>
      <c r="O120" s="69"/>
      <c r="P120" s="69"/>
      <c r="Q120" s="12"/>
      <c r="R120" s="12"/>
      <c r="S120" s="12"/>
    </row>
    <row r="121">
      <c r="K121" s="69"/>
      <c r="L121" s="69"/>
      <c r="M121" s="69"/>
      <c r="N121" s="69"/>
      <c r="O121" s="69"/>
      <c r="P121" s="69"/>
      <c r="Q121" s="12"/>
      <c r="R121" s="12"/>
      <c r="S121" s="12"/>
    </row>
    <row r="122">
      <c r="K122" s="69"/>
      <c r="L122" s="69"/>
      <c r="M122" s="69"/>
      <c r="N122" s="69"/>
      <c r="O122" s="69"/>
      <c r="P122" s="69"/>
      <c r="Q122" s="12"/>
      <c r="R122" s="12"/>
      <c r="S122" s="12"/>
    </row>
    <row r="123">
      <c r="K123" s="69"/>
      <c r="L123" s="69"/>
      <c r="M123" s="69"/>
      <c r="N123" s="69"/>
      <c r="O123" s="69"/>
      <c r="P123" s="69"/>
      <c r="Q123" s="12"/>
      <c r="R123" s="12"/>
      <c r="S123" s="12"/>
    </row>
    <row r="124">
      <c r="K124" s="69"/>
      <c r="L124" s="69"/>
      <c r="M124" s="69"/>
      <c r="N124" s="69"/>
      <c r="O124" s="69"/>
      <c r="P124" s="69"/>
      <c r="Q124" s="12"/>
      <c r="R124" s="12"/>
      <c r="S124" s="12"/>
    </row>
    <row r="125">
      <c r="K125" s="69"/>
      <c r="L125" s="69"/>
      <c r="M125" s="69"/>
      <c r="N125" s="69"/>
      <c r="O125" s="69"/>
      <c r="P125" s="69"/>
      <c r="Q125" s="12"/>
      <c r="R125" s="12"/>
      <c r="S125" s="12"/>
    </row>
    <row r="126">
      <c r="K126" s="69"/>
      <c r="L126" s="69"/>
      <c r="M126" s="69"/>
      <c r="N126" s="69"/>
      <c r="O126" s="69"/>
      <c r="P126" s="69"/>
      <c r="Q126" s="12"/>
      <c r="R126" s="12"/>
      <c r="S126" s="12"/>
    </row>
    <row r="127">
      <c r="K127" s="69"/>
      <c r="L127" s="69"/>
      <c r="M127" s="69"/>
      <c r="N127" s="69"/>
      <c r="O127" s="69"/>
      <c r="P127" s="69"/>
      <c r="Q127" s="12"/>
      <c r="R127" s="12"/>
      <c r="S127" s="12"/>
    </row>
    <row r="128">
      <c r="K128" s="69"/>
      <c r="L128" s="69"/>
      <c r="M128" s="69"/>
      <c r="N128" s="69"/>
      <c r="O128" s="69"/>
      <c r="P128" s="69"/>
      <c r="Q128" s="12"/>
      <c r="R128" s="12"/>
      <c r="S128" s="12"/>
    </row>
    <row r="129">
      <c r="K129" s="69"/>
      <c r="L129" s="69"/>
      <c r="M129" s="69"/>
      <c r="N129" s="69"/>
      <c r="O129" s="69"/>
      <c r="P129" s="69"/>
      <c r="Q129" s="12"/>
      <c r="R129" s="12"/>
      <c r="S129" s="12"/>
    </row>
    <row r="130">
      <c r="K130" s="69"/>
      <c r="L130" s="69"/>
      <c r="M130" s="69"/>
      <c r="N130" s="69"/>
      <c r="O130" s="69"/>
      <c r="P130" s="69"/>
      <c r="Q130" s="12"/>
      <c r="R130" s="12"/>
      <c r="S130" s="12"/>
    </row>
    <row r="131">
      <c r="K131" s="69"/>
      <c r="L131" s="69"/>
      <c r="M131" s="69"/>
      <c r="N131" s="69"/>
      <c r="O131" s="69"/>
      <c r="P131" s="69"/>
      <c r="Q131" s="12"/>
      <c r="R131" s="12"/>
      <c r="S131" s="12"/>
    </row>
    <row r="132">
      <c r="K132" s="69"/>
      <c r="L132" s="69"/>
      <c r="M132" s="69"/>
      <c r="N132" s="69"/>
      <c r="O132" s="69"/>
      <c r="P132" s="69"/>
      <c r="Q132" s="12"/>
      <c r="R132" s="12"/>
      <c r="S132" s="12"/>
    </row>
    <row r="133">
      <c r="K133" s="69"/>
      <c r="L133" s="69"/>
      <c r="M133" s="69"/>
      <c r="N133" s="69"/>
      <c r="O133" s="69"/>
      <c r="P133" s="69"/>
      <c r="Q133" s="12"/>
      <c r="R133" s="12"/>
      <c r="S133" s="12"/>
    </row>
    <row r="134">
      <c r="K134" s="69"/>
      <c r="L134" s="69"/>
      <c r="M134" s="69"/>
      <c r="N134" s="69"/>
      <c r="O134" s="69"/>
      <c r="P134" s="69"/>
      <c r="Q134" s="12"/>
      <c r="R134" s="12"/>
      <c r="S134" s="12"/>
    </row>
    <row r="135">
      <c r="K135" s="69"/>
      <c r="L135" s="69"/>
      <c r="M135" s="69"/>
      <c r="N135" s="69"/>
      <c r="O135" s="69"/>
      <c r="P135" s="69"/>
      <c r="Q135" s="12"/>
      <c r="R135" s="12"/>
      <c r="S135" s="12"/>
    </row>
    <row r="136">
      <c r="K136" s="69"/>
      <c r="L136" s="69"/>
      <c r="M136" s="69"/>
      <c r="N136" s="69"/>
      <c r="O136" s="69"/>
      <c r="P136" s="69"/>
      <c r="Q136" s="12"/>
      <c r="R136" s="12"/>
      <c r="S136" s="12"/>
    </row>
    <row r="137">
      <c r="K137" s="69"/>
      <c r="L137" s="69"/>
      <c r="M137" s="69"/>
      <c r="N137" s="69"/>
      <c r="O137" s="69"/>
      <c r="P137" s="69"/>
      <c r="Q137" s="12"/>
      <c r="R137" s="12"/>
      <c r="S137" s="12"/>
    </row>
    <row r="138">
      <c r="K138" s="69"/>
      <c r="L138" s="69"/>
      <c r="M138" s="69"/>
      <c r="N138" s="69"/>
      <c r="O138" s="69"/>
      <c r="P138" s="69"/>
      <c r="Q138" s="12"/>
      <c r="R138" s="12"/>
      <c r="S138" s="12"/>
    </row>
    <row r="139">
      <c r="K139" s="69"/>
      <c r="L139" s="69"/>
      <c r="M139" s="69"/>
      <c r="N139" s="69"/>
      <c r="O139" s="69"/>
      <c r="P139" s="69"/>
      <c r="Q139" s="12"/>
      <c r="R139" s="12"/>
      <c r="S139" s="12"/>
    </row>
    <row r="140">
      <c r="K140" s="69"/>
      <c r="L140" s="69"/>
      <c r="M140" s="69"/>
      <c r="N140" s="69"/>
      <c r="O140" s="69"/>
      <c r="P140" s="69"/>
      <c r="Q140" s="12"/>
      <c r="R140" s="12"/>
      <c r="S140" s="12"/>
    </row>
    <row r="141">
      <c r="K141" s="69"/>
      <c r="L141" s="69"/>
      <c r="M141" s="69"/>
      <c r="N141" s="69"/>
      <c r="O141" s="69"/>
      <c r="P141" s="69"/>
      <c r="Q141" s="12"/>
      <c r="R141" s="12"/>
      <c r="S141" s="12"/>
    </row>
    <row r="142">
      <c r="K142" s="69"/>
      <c r="L142" s="69"/>
      <c r="M142" s="69"/>
      <c r="N142" s="69"/>
      <c r="O142" s="69"/>
      <c r="P142" s="69"/>
      <c r="Q142" s="12"/>
      <c r="R142" s="12"/>
      <c r="S142" s="12"/>
    </row>
    <row r="143">
      <c r="K143" s="69"/>
      <c r="L143" s="69"/>
      <c r="M143" s="69"/>
      <c r="N143" s="69"/>
      <c r="O143" s="69"/>
      <c r="P143" s="69"/>
      <c r="Q143" s="12"/>
      <c r="R143" s="12"/>
      <c r="S143" s="12"/>
    </row>
    <row r="144">
      <c r="K144" s="69"/>
      <c r="L144" s="69"/>
      <c r="M144" s="69"/>
      <c r="N144" s="69"/>
      <c r="O144" s="69"/>
      <c r="P144" s="69"/>
      <c r="Q144" s="12"/>
      <c r="R144" s="12"/>
      <c r="S144" s="12"/>
    </row>
    <row r="145">
      <c r="K145" s="69"/>
      <c r="L145" s="69"/>
      <c r="M145" s="69"/>
      <c r="N145" s="69"/>
      <c r="O145" s="69"/>
      <c r="P145" s="69"/>
      <c r="Q145" s="12"/>
      <c r="R145" s="12"/>
      <c r="S145" s="12"/>
    </row>
    <row r="146">
      <c r="K146" s="69"/>
      <c r="L146" s="69"/>
      <c r="M146" s="69"/>
      <c r="N146" s="69"/>
      <c r="O146" s="69"/>
      <c r="P146" s="69"/>
      <c r="Q146" s="12"/>
      <c r="R146" s="12"/>
      <c r="S146" s="12"/>
    </row>
    <row r="147">
      <c r="K147" s="69"/>
      <c r="L147" s="69"/>
      <c r="M147" s="69"/>
      <c r="N147" s="69"/>
      <c r="O147" s="69"/>
      <c r="P147" s="69"/>
      <c r="Q147" s="12"/>
      <c r="R147" s="12"/>
      <c r="S147" s="12"/>
    </row>
    <row r="148">
      <c r="K148" s="69"/>
      <c r="L148" s="69"/>
      <c r="M148" s="69"/>
      <c r="N148" s="69"/>
      <c r="O148" s="69"/>
      <c r="P148" s="69"/>
      <c r="Q148" s="12"/>
      <c r="R148" s="12"/>
      <c r="S148" s="12"/>
    </row>
    <row r="149">
      <c r="K149" s="69"/>
      <c r="L149" s="69"/>
      <c r="M149" s="69"/>
      <c r="N149" s="69"/>
      <c r="O149" s="69"/>
      <c r="P149" s="69"/>
      <c r="Q149" s="12"/>
      <c r="R149" s="12"/>
      <c r="S149" s="12"/>
    </row>
    <row r="150">
      <c r="K150" s="68"/>
      <c r="L150" s="68"/>
      <c r="M150" s="68"/>
      <c r="N150" s="68"/>
      <c r="O150" s="68"/>
      <c r="P150" s="68"/>
    </row>
    <row r="151">
      <c r="K151" s="68"/>
      <c r="L151" s="68"/>
      <c r="M151" s="68"/>
      <c r="N151" s="68"/>
      <c r="O151" s="68"/>
      <c r="P151" s="68"/>
    </row>
    <row r="152">
      <c r="K152" s="68"/>
      <c r="L152" s="68"/>
      <c r="M152" s="68"/>
      <c r="N152" s="68"/>
      <c r="O152" s="68"/>
      <c r="P152" s="68"/>
    </row>
    <row r="153">
      <c r="K153" s="68"/>
      <c r="L153" s="68"/>
      <c r="M153" s="68"/>
      <c r="N153" s="68"/>
      <c r="O153" s="68"/>
      <c r="P153" s="68"/>
    </row>
    <row r="154">
      <c r="K154" s="68"/>
      <c r="L154" s="68"/>
      <c r="M154" s="68"/>
      <c r="N154" s="68"/>
      <c r="O154" s="68"/>
      <c r="P154" s="68"/>
    </row>
    <row r="155">
      <c r="K155" s="68"/>
      <c r="L155" s="68"/>
      <c r="M155" s="68"/>
      <c r="N155" s="68"/>
      <c r="O155" s="68"/>
      <c r="P155" s="68"/>
    </row>
    <row r="156">
      <c r="K156" s="68"/>
      <c r="L156" s="68"/>
      <c r="M156" s="68"/>
      <c r="N156" s="68"/>
      <c r="O156" s="68"/>
      <c r="P156" s="68"/>
    </row>
    <row r="157">
      <c r="K157" s="68"/>
      <c r="L157" s="68"/>
      <c r="M157" s="68"/>
      <c r="N157" s="68"/>
      <c r="O157" s="68"/>
      <c r="P157" s="68"/>
    </row>
    <row r="158">
      <c r="K158" s="68"/>
      <c r="L158" s="68"/>
      <c r="M158" s="68"/>
      <c r="N158" s="68"/>
      <c r="O158" s="68"/>
      <c r="P158" s="68"/>
    </row>
    <row r="159">
      <c r="K159" s="68"/>
      <c r="L159" s="68"/>
      <c r="M159" s="68"/>
      <c r="N159" s="68"/>
      <c r="O159" s="68"/>
      <c r="P159" s="68"/>
    </row>
    <row r="160">
      <c r="K160" s="68"/>
      <c r="L160" s="68"/>
      <c r="M160" s="68"/>
      <c r="N160" s="68"/>
      <c r="O160" s="68"/>
      <c r="P160" s="68"/>
    </row>
    <row r="161">
      <c r="K161" s="68"/>
      <c r="L161" s="68"/>
      <c r="M161" s="68"/>
      <c r="N161" s="68"/>
      <c r="O161" s="68"/>
      <c r="P161" s="68"/>
    </row>
    <row r="162">
      <c r="K162" s="68"/>
      <c r="L162" s="68"/>
      <c r="M162" s="68"/>
      <c r="N162" s="68"/>
      <c r="O162" s="68"/>
      <c r="P162" s="68"/>
    </row>
    <row r="163">
      <c r="K163" s="68"/>
      <c r="L163" s="68"/>
      <c r="M163" s="68"/>
      <c r="N163" s="68"/>
      <c r="O163" s="68"/>
      <c r="P163" s="68"/>
    </row>
    <row r="164">
      <c r="K164" s="68"/>
      <c r="L164" s="68"/>
      <c r="M164" s="68"/>
      <c r="N164" s="68"/>
      <c r="O164" s="68"/>
      <c r="P164" s="68"/>
    </row>
    <row r="165">
      <c r="K165" s="68"/>
      <c r="L165" s="68"/>
      <c r="M165" s="68"/>
      <c r="N165" s="68"/>
      <c r="O165" s="68"/>
      <c r="P165" s="68"/>
    </row>
    <row r="166">
      <c r="K166" s="68"/>
      <c r="L166" s="68"/>
      <c r="M166" s="68"/>
      <c r="N166" s="68"/>
      <c r="O166" s="68"/>
      <c r="P166" s="68"/>
    </row>
    <row r="167">
      <c r="K167" s="68"/>
      <c r="L167" s="68"/>
      <c r="M167" s="68"/>
      <c r="N167" s="68"/>
      <c r="O167" s="68"/>
      <c r="P167" s="68"/>
    </row>
    <row r="168">
      <c r="K168" s="68"/>
      <c r="L168" s="68"/>
      <c r="M168" s="68"/>
      <c r="N168" s="68"/>
      <c r="O168" s="68"/>
      <c r="P168" s="68"/>
    </row>
    <row r="169">
      <c r="K169" s="68"/>
      <c r="L169" s="68"/>
      <c r="M169" s="68"/>
      <c r="N169" s="68"/>
      <c r="O169" s="68"/>
      <c r="P169" s="68"/>
    </row>
    <row r="170">
      <c r="K170" s="68"/>
      <c r="L170" s="68"/>
      <c r="M170" s="68"/>
      <c r="N170" s="68"/>
      <c r="O170" s="68"/>
      <c r="P170" s="68"/>
    </row>
    <row r="171">
      <c r="K171" s="68"/>
      <c r="L171" s="68"/>
      <c r="M171" s="68"/>
      <c r="N171" s="68"/>
      <c r="O171" s="68"/>
      <c r="P171" s="68"/>
    </row>
    <row r="172">
      <c r="K172" s="68"/>
      <c r="L172" s="68"/>
      <c r="M172" s="68"/>
      <c r="N172" s="68"/>
      <c r="O172" s="68"/>
      <c r="P172" s="68"/>
    </row>
    <row r="173">
      <c r="K173" s="68"/>
      <c r="L173" s="68"/>
      <c r="M173" s="68"/>
      <c r="N173" s="68"/>
      <c r="O173" s="68"/>
      <c r="P173" s="68"/>
    </row>
    <row r="174">
      <c r="K174" s="68"/>
      <c r="L174" s="68"/>
      <c r="M174" s="68"/>
      <c r="N174" s="68"/>
      <c r="O174" s="68"/>
      <c r="P174" s="68"/>
    </row>
    <row r="175">
      <c r="K175" s="68"/>
      <c r="L175" s="68"/>
      <c r="M175" s="68"/>
      <c r="N175" s="68"/>
      <c r="O175" s="68"/>
      <c r="P175" s="68"/>
    </row>
    <row r="176">
      <c r="K176" s="68"/>
      <c r="L176" s="68"/>
      <c r="M176" s="68"/>
      <c r="N176" s="68"/>
      <c r="O176" s="68"/>
      <c r="P176" s="68"/>
    </row>
    <row r="177">
      <c r="K177" s="68"/>
      <c r="L177" s="68"/>
      <c r="M177" s="68"/>
      <c r="N177" s="68"/>
      <c r="O177" s="68"/>
      <c r="P177" s="68"/>
    </row>
    <row r="178">
      <c r="K178" s="68"/>
      <c r="L178" s="68"/>
      <c r="M178" s="68"/>
      <c r="N178" s="68"/>
      <c r="O178" s="68"/>
      <c r="P178" s="68"/>
    </row>
    <row r="179">
      <c r="K179" s="68"/>
      <c r="L179" s="68"/>
      <c r="M179" s="68"/>
      <c r="N179" s="68"/>
      <c r="O179" s="68"/>
      <c r="P179" s="68"/>
    </row>
    <row r="180">
      <c r="K180" s="68"/>
      <c r="L180" s="68"/>
      <c r="M180" s="68"/>
      <c r="N180" s="68"/>
      <c r="O180" s="68"/>
      <c r="P180" s="68"/>
    </row>
    <row r="181">
      <c r="K181" s="68"/>
      <c r="L181" s="68"/>
      <c r="M181" s="68"/>
      <c r="N181" s="68"/>
      <c r="O181" s="68"/>
      <c r="P181" s="68"/>
    </row>
    <row r="182">
      <c r="K182" s="68"/>
      <c r="L182" s="68"/>
      <c r="M182" s="68"/>
      <c r="N182" s="68"/>
      <c r="O182" s="68"/>
      <c r="P182" s="68"/>
    </row>
    <row r="183">
      <c r="K183" s="68"/>
      <c r="L183" s="68"/>
      <c r="M183" s="68"/>
      <c r="N183" s="68"/>
      <c r="O183" s="68"/>
      <c r="P183" s="68"/>
    </row>
    <row r="184">
      <c r="K184" s="68"/>
      <c r="L184" s="68"/>
      <c r="M184" s="68"/>
      <c r="N184" s="68"/>
      <c r="O184" s="68"/>
      <c r="P184" s="68"/>
    </row>
    <row r="185">
      <c r="K185" s="68"/>
      <c r="L185" s="68"/>
      <c r="M185" s="68"/>
      <c r="N185" s="68"/>
      <c r="O185" s="68"/>
      <c r="P185" s="68"/>
    </row>
    <row r="186">
      <c r="K186" s="68"/>
      <c r="L186" s="68"/>
      <c r="M186" s="68"/>
      <c r="N186" s="68"/>
      <c r="O186" s="68"/>
      <c r="P186" s="68"/>
    </row>
    <row r="187">
      <c r="K187" s="68"/>
      <c r="L187" s="68"/>
      <c r="M187" s="68"/>
      <c r="N187" s="68"/>
      <c r="O187" s="68"/>
      <c r="P187" s="68"/>
    </row>
    <row r="188">
      <c r="K188" s="68"/>
      <c r="L188" s="68"/>
      <c r="M188" s="68"/>
      <c r="N188" s="68"/>
      <c r="O188" s="68"/>
      <c r="P188" s="68"/>
    </row>
    <row r="189">
      <c r="K189" s="68"/>
      <c r="L189" s="68"/>
      <c r="M189" s="68"/>
      <c r="N189" s="68"/>
      <c r="O189" s="68"/>
      <c r="P189" s="68"/>
    </row>
    <row r="190">
      <c r="K190" s="68"/>
      <c r="L190" s="68"/>
      <c r="M190" s="68"/>
      <c r="N190" s="68"/>
      <c r="O190" s="68"/>
      <c r="P190" s="68"/>
    </row>
    <row r="191">
      <c r="K191" s="68"/>
      <c r="L191" s="68"/>
      <c r="M191" s="68"/>
      <c r="N191" s="68"/>
      <c r="O191" s="68"/>
      <c r="P191" s="68"/>
    </row>
    <row r="192">
      <c r="K192" s="68"/>
      <c r="L192" s="68"/>
      <c r="M192" s="68"/>
      <c r="N192" s="68"/>
      <c r="O192" s="68"/>
      <c r="P192" s="68"/>
    </row>
    <row r="193">
      <c r="K193" s="68"/>
      <c r="L193" s="68"/>
      <c r="M193" s="68"/>
      <c r="N193" s="68"/>
      <c r="O193" s="68"/>
      <c r="P193" s="68"/>
    </row>
    <row r="194">
      <c r="K194" s="68"/>
      <c r="L194" s="68"/>
      <c r="M194" s="68"/>
      <c r="N194" s="68"/>
      <c r="O194" s="68"/>
      <c r="P194" s="68"/>
    </row>
    <row r="195">
      <c r="K195" s="68"/>
      <c r="L195" s="68"/>
      <c r="M195" s="68"/>
      <c r="N195" s="68"/>
      <c r="O195" s="68"/>
      <c r="P195" s="68"/>
    </row>
    <row r="196">
      <c r="K196" s="68"/>
      <c r="L196" s="68"/>
      <c r="M196" s="68"/>
      <c r="N196" s="68"/>
      <c r="O196" s="68"/>
      <c r="P196" s="68"/>
    </row>
    <row r="197">
      <c r="K197" s="68"/>
      <c r="L197" s="68"/>
      <c r="M197" s="68"/>
      <c r="N197" s="68"/>
      <c r="O197" s="68"/>
      <c r="P197" s="68"/>
    </row>
    <row r="198">
      <c r="K198" s="68"/>
      <c r="L198" s="68"/>
      <c r="M198" s="68"/>
      <c r="N198" s="68"/>
      <c r="O198" s="68"/>
      <c r="P198" s="68"/>
    </row>
    <row r="199">
      <c r="K199" s="68"/>
      <c r="L199" s="68"/>
      <c r="M199" s="68"/>
      <c r="N199" s="68"/>
      <c r="O199" s="68"/>
      <c r="P199" s="68"/>
    </row>
    <row r="200">
      <c r="K200" s="68"/>
      <c r="L200" s="68"/>
      <c r="M200" s="68"/>
      <c r="N200" s="68"/>
      <c r="O200" s="68"/>
      <c r="P200" s="68"/>
    </row>
    <row r="201">
      <c r="K201" s="68"/>
      <c r="L201" s="68"/>
      <c r="M201" s="68"/>
      <c r="N201" s="68"/>
      <c r="O201" s="68"/>
      <c r="P201" s="68"/>
    </row>
    <row r="202">
      <c r="K202" s="68"/>
      <c r="L202" s="68"/>
      <c r="M202" s="68"/>
      <c r="N202" s="68"/>
      <c r="O202" s="68"/>
      <c r="P202" s="68"/>
    </row>
    <row r="203">
      <c r="K203" s="68"/>
      <c r="L203" s="68"/>
      <c r="M203" s="68"/>
      <c r="N203" s="68"/>
      <c r="O203" s="68"/>
      <c r="P203" s="68"/>
    </row>
    <row r="204">
      <c r="K204" s="68"/>
      <c r="L204" s="68"/>
      <c r="M204" s="68"/>
      <c r="N204" s="68"/>
      <c r="O204" s="68"/>
      <c r="P204" s="68"/>
    </row>
    <row r="205">
      <c r="K205" s="68"/>
      <c r="L205" s="68"/>
      <c r="M205" s="68"/>
      <c r="N205" s="68"/>
      <c r="O205" s="68"/>
      <c r="P205" s="68"/>
    </row>
    <row r="206">
      <c r="K206" s="68"/>
      <c r="L206" s="68"/>
      <c r="M206" s="68"/>
      <c r="N206" s="68"/>
      <c r="O206" s="68"/>
      <c r="P206" s="68"/>
    </row>
    <row r="207">
      <c r="K207" s="68"/>
      <c r="L207" s="68"/>
      <c r="M207" s="68"/>
      <c r="N207" s="68"/>
      <c r="O207" s="68"/>
      <c r="P207" s="68"/>
    </row>
    <row r="208">
      <c r="K208" s="68"/>
      <c r="L208" s="68"/>
      <c r="M208" s="68"/>
      <c r="N208" s="68"/>
      <c r="O208" s="68"/>
      <c r="P208" s="68"/>
    </row>
    <row r="209">
      <c r="K209" s="68"/>
      <c r="L209" s="68"/>
      <c r="M209" s="68"/>
      <c r="N209" s="68"/>
      <c r="O209" s="68"/>
      <c r="P209" s="68"/>
    </row>
    <row r="210">
      <c r="K210" s="68"/>
      <c r="L210" s="68"/>
      <c r="M210" s="68"/>
      <c r="N210" s="68"/>
      <c r="O210" s="68"/>
      <c r="P210" s="68"/>
    </row>
    <row r="211">
      <c r="K211" s="68"/>
      <c r="L211" s="68"/>
      <c r="M211" s="68"/>
      <c r="N211" s="68"/>
      <c r="O211" s="68"/>
      <c r="P211" s="68"/>
    </row>
    <row r="212">
      <c r="K212" s="68"/>
      <c r="L212" s="68"/>
      <c r="M212" s="68"/>
      <c r="N212" s="68"/>
      <c r="O212" s="68"/>
      <c r="P212" s="68"/>
    </row>
    <row r="213">
      <c r="K213" s="68"/>
      <c r="L213" s="68"/>
      <c r="M213" s="68"/>
      <c r="N213" s="68"/>
      <c r="O213" s="68"/>
      <c r="P213" s="68"/>
    </row>
    <row r="214">
      <c r="K214" s="68"/>
      <c r="L214" s="68"/>
      <c r="M214" s="68"/>
      <c r="N214" s="68"/>
      <c r="O214" s="68"/>
      <c r="P214" s="68"/>
    </row>
    <row r="215">
      <c r="K215" s="68"/>
      <c r="L215" s="68"/>
      <c r="M215" s="68"/>
      <c r="N215" s="68"/>
      <c r="O215" s="68"/>
      <c r="P215" s="68"/>
    </row>
    <row r="216">
      <c r="K216" s="68"/>
      <c r="L216" s="68"/>
      <c r="M216" s="68"/>
      <c r="N216" s="68"/>
      <c r="O216" s="68"/>
      <c r="P216" s="68"/>
    </row>
    <row r="217">
      <c r="K217" s="68"/>
      <c r="L217" s="68"/>
      <c r="M217" s="68"/>
      <c r="N217" s="68"/>
      <c r="O217" s="68"/>
      <c r="P217" s="68"/>
    </row>
    <row r="218">
      <c r="K218" s="68"/>
      <c r="L218" s="68"/>
      <c r="M218" s="68"/>
      <c r="N218" s="68"/>
      <c r="O218" s="68"/>
      <c r="P218" s="68"/>
    </row>
    <row r="219">
      <c r="K219" s="68"/>
      <c r="L219" s="68"/>
      <c r="M219" s="68"/>
      <c r="N219" s="68"/>
      <c r="O219" s="68"/>
      <c r="P219" s="68"/>
    </row>
    <row r="220">
      <c r="K220" s="68"/>
      <c r="L220" s="68"/>
      <c r="M220" s="68"/>
      <c r="N220" s="68"/>
      <c r="O220" s="68"/>
      <c r="P220" s="68"/>
    </row>
    <row r="221">
      <c r="K221" s="68"/>
      <c r="L221" s="68"/>
      <c r="M221" s="68"/>
      <c r="N221" s="68"/>
      <c r="O221" s="68"/>
      <c r="P221" s="68"/>
    </row>
    <row r="222">
      <c r="K222" s="68"/>
      <c r="L222" s="68"/>
      <c r="M222" s="68"/>
      <c r="N222" s="68"/>
      <c r="O222" s="68"/>
      <c r="P222" s="68"/>
    </row>
    <row r="223">
      <c r="K223" s="68"/>
      <c r="L223" s="68"/>
      <c r="M223" s="68"/>
      <c r="N223" s="68"/>
      <c r="O223" s="68"/>
      <c r="P223" s="68"/>
    </row>
    <row r="224">
      <c r="K224" s="68"/>
      <c r="L224" s="68"/>
      <c r="M224" s="68"/>
      <c r="N224" s="68"/>
      <c r="O224" s="68"/>
      <c r="P224" s="68"/>
    </row>
    <row r="225">
      <c r="K225" s="68"/>
      <c r="L225" s="68"/>
      <c r="M225" s="68"/>
      <c r="N225" s="68"/>
      <c r="O225" s="68"/>
      <c r="P225" s="68"/>
    </row>
    <row r="226">
      <c r="K226" s="68"/>
      <c r="L226" s="68"/>
      <c r="M226" s="68"/>
      <c r="N226" s="68"/>
      <c r="O226" s="68"/>
      <c r="P226" s="68"/>
    </row>
    <row r="227">
      <c r="K227" s="68"/>
      <c r="L227" s="68"/>
      <c r="M227" s="68"/>
      <c r="N227" s="68"/>
      <c r="O227" s="68"/>
      <c r="P227" s="68"/>
    </row>
    <row r="228">
      <c r="K228" s="68"/>
      <c r="L228" s="68"/>
      <c r="M228" s="68"/>
      <c r="N228" s="68"/>
      <c r="O228" s="68"/>
      <c r="P228" s="68"/>
    </row>
    <row r="229">
      <c r="K229" s="68"/>
      <c r="L229" s="68"/>
      <c r="M229" s="68"/>
      <c r="N229" s="68"/>
      <c r="O229" s="68"/>
      <c r="P229" s="68"/>
    </row>
    <row r="230">
      <c r="K230" s="68"/>
      <c r="L230" s="68"/>
      <c r="M230" s="68"/>
      <c r="N230" s="68"/>
      <c r="O230" s="68"/>
      <c r="P230" s="68"/>
    </row>
    <row r="231">
      <c r="K231" s="68"/>
      <c r="L231" s="68"/>
      <c r="M231" s="68"/>
      <c r="N231" s="68"/>
      <c r="O231" s="68"/>
      <c r="P231" s="68"/>
    </row>
    <row r="232">
      <c r="K232" s="68"/>
      <c r="L232" s="68"/>
      <c r="M232" s="68"/>
      <c r="N232" s="68"/>
      <c r="O232" s="68"/>
      <c r="P232" s="68"/>
    </row>
    <row r="233">
      <c r="K233" s="68"/>
      <c r="L233" s="68"/>
      <c r="M233" s="68"/>
      <c r="N233" s="68"/>
      <c r="O233" s="68"/>
      <c r="P233" s="68"/>
    </row>
    <row r="234">
      <c r="K234" s="68"/>
      <c r="L234" s="68"/>
      <c r="M234" s="68"/>
      <c r="N234" s="68"/>
      <c r="O234" s="68"/>
      <c r="P234" s="68"/>
    </row>
    <row r="235">
      <c r="K235" s="68"/>
      <c r="L235" s="68"/>
      <c r="M235" s="68"/>
      <c r="N235" s="68"/>
      <c r="O235" s="68"/>
      <c r="P235" s="68"/>
    </row>
    <row r="236">
      <c r="K236" s="68"/>
      <c r="L236" s="68"/>
      <c r="M236" s="68"/>
      <c r="N236" s="68"/>
      <c r="O236" s="68"/>
      <c r="P236" s="68"/>
    </row>
    <row r="237">
      <c r="K237" s="68"/>
      <c r="L237" s="68"/>
      <c r="M237" s="68"/>
      <c r="N237" s="68"/>
      <c r="O237" s="68"/>
      <c r="P237" s="68"/>
    </row>
    <row r="238">
      <c r="K238" s="68"/>
      <c r="L238" s="68"/>
      <c r="M238" s="68"/>
      <c r="N238" s="68"/>
      <c r="O238" s="68"/>
      <c r="P238" s="68"/>
    </row>
    <row r="239">
      <c r="K239" s="68"/>
      <c r="L239" s="68"/>
      <c r="M239" s="68"/>
      <c r="N239" s="68"/>
      <c r="O239" s="68"/>
      <c r="P239" s="68"/>
    </row>
    <row r="240">
      <c r="K240" s="68"/>
      <c r="L240" s="68"/>
      <c r="M240" s="68"/>
      <c r="N240" s="68"/>
      <c r="O240" s="68"/>
      <c r="P240" s="68"/>
    </row>
    <row r="241">
      <c r="K241" s="68"/>
      <c r="L241" s="68"/>
      <c r="M241" s="68"/>
      <c r="N241" s="68"/>
      <c r="O241" s="68"/>
      <c r="P241" s="68"/>
    </row>
    <row r="242">
      <c r="K242" s="68"/>
      <c r="L242" s="68"/>
      <c r="M242" s="68"/>
      <c r="N242" s="68"/>
      <c r="O242" s="68"/>
      <c r="P242" s="68"/>
    </row>
    <row r="243">
      <c r="K243" s="68"/>
      <c r="L243" s="68"/>
      <c r="M243" s="68"/>
      <c r="N243" s="68"/>
      <c r="O243" s="68"/>
      <c r="P243" s="68"/>
    </row>
    <row r="244">
      <c r="K244" s="68"/>
      <c r="L244" s="68"/>
      <c r="M244" s="68"/>
      <c r="N244" s="68"/>
      <c r="O244" s="68"/>
      <c r="P244" s="68"/>
    </row>
    <row r="245">
      <c r="K245" s="68"/>
      <c r="L245" s="68"/>
      <c r="M245" s="68"/>
      <c r="N245" s="68"/>
      <c r="O245" s="68"/>
      <c r="P245" s="68"/>
    </row>
    <row r="246">
      <c r="K246" s="68"/>
      <c r="L246" s="68"/>
      <c r="M246" s="68"/>
      <c r="N246" s="68"/>
      <c r="O246" s="68"/>
      <c r="P246" s="68"/>
    </row>
    <row r="247">
      <c r="K247" s="68"/>
      <c r="L247" s="68"/>
      <c r="M247" s="68"/>
      <c r="N247" s="68"/>
      <c r="O247" s="68"/>
      <c r="P247" s="68"/>
    </row>
    <row r="248">
      <c r="K248" s="68"/>
      <c r="L248" s="68"/>
      <c r="M248" s="68"/>
      <c r="N248" s="68"/>
      <c r="O248" s="68"/>
      <c r="P248" s="68"/>
    </row>
    <row r="249">
      <c r="K249" s="68"/>
      <c r="L249" s="68"/>
      <c r="M249" s="68"/>
      <c r="N249" s="68"/>
      <c r="O249" s="68"/>
      <c r="P249" s="68"/>
    </row>
    <row r="250">
      <c r="K250" s="68"/>
      <c r="L250" s="68"/>
      <c r="M250" s="68"/>
      <c r="N250" s="68"/>
      <c r="O250" s="68"/>
      <c r="P250" s="68"/>
    </row>
    <row r="251">
      <c r="K251" s="68"/>
      <c r="L251" s="68"/>
      <c r="M251" s="68"/>
      <c r="N251" s="68"/>
      <c r="O251" s="68"/>
      <c r="P251" s="68"/>
    </row>
    <row r="252">
      <c r="K252" s="68"/>
      <c r="L252" s="68"/>
      <c r="M252" s="68"/>
      <c r="N252" s="68"/>
      <c r="O252" s="68"/>
      <c r="P252" s="68"/>
    </row>
    <row r="253">
      <c r="K253" s="68"/>
      <c r="L253" s="68"/>
      <c r="M253" s="68"/>
      <c r="N253" s="68"/>
      <c r="O253" s="68"/>
      <c r="P253" s="68"/>
    </row>
    <row r="254">
      <c r="K254" s="68"/>
      <c r="L254" s="68"/>
      <c r="M254" s="68"/>
      <c r="N254" s="68"/>
      <c r="O254" s="68"/>
      <c r="P254" s="68"/>
    </row>
    <row r="255">
      <c r="K255" s="68"/>
      <c r="L255" s="68"/>
      <c r="M255" s="68"/>
      <c r="N255" s="68"/>
      <c r="O255" s="68"/>
      <c r="P255" s="68"/>
    </row>
    <row r="256">
      <c r="K256" s="68"/>
      <c r="L256" s="68"/>
      <c r="M256" s="68"/>
      <c r="N256" s="68"/>
      <c r="O256" s="68"/>
      <c r="P256" s="68"/>
    </row>
    <row r="257">
      <c r="K257" s="68"/>
      <c r="L257" s="68"/>
      <c r="M257" s="68"/>
      <c r="N257" s="68"/>
      <c r="O257" s="68"/>
      <c r="P257" s="68"/>
    </row>
    <row r="258">
      <c r="K258" s="68"/>
      <c r="L258" s="68"/>
      <c r="M258" s="68"/>
      <c r="N258" s="68"/>
      <c r="O258" s="68"/>
      <c r="P258" s="68"/>
    </row>
    <row r="259">
      <c r="K259" s="68"/>
      <c r="L259" s="68"/>
      <c r="M259" s="68"/>
      <c r="N259" s="68"/>
      <c r="O259" s="68"/>
      <c r="P259" s="68"/>
    </row>
    <row r="260">
      <c r="K260" s="68"/>
      <c r="L260" s="68"/>
      <c r="M260" s="68"/>
      <c r="N260" s="68"/>
      <c r="O260" s="68"/>
      <c r="P260" s="68"/>
    </row>
    <row r="261">
      <c r="K261" s="68"/>
      <c r="L261" s="68"/>
      <c r="M261" s="68"/>
      <c r="N261" s="68"/>
      <c r="O261" s="68"/>
      <c r="P261" s="68"/>
    </row>
    <row r="262">
      <c r="K262" s="68"/>
      <c r="L262" s="68"/>
      <c r="M262" s="68"/>
      <c r="N262" s="68"/>
      <c r="O262" s="68"/>
      <c r="P262" s="68"/>
    </row>
    <row r="263">
      <c r="K263" s="68"/>
      <c r="L263" s="68"/>
      <c r="M263" s="68"/>
      <c r="N263" s="68"/>
      <c r="O263" s="68"/>
      <c r="P263" s="68"/>
    </row>
    <row r="264">
      <c r="K264" s="68"/>
      <c r="L264" s="68"/>
      <c r="M264" s="68"/>
      <c r="N264" s="68"/>
      <c r="O264" s="68"/>
      <c r="P264" s="68"/>
    </row>
    <row r="265">
      <c r="K265" s="68"/>
      <c r="L265" s="68"/>
      <c r="M265" s="68"/>
      <c r="N265" s="68"/>
      <c r="O265" s="68"/>
      <c r="P265" s="68"/>
    </row>
    <row r="266">
      <c r="K266" s="68"/>
      <c r="L266" s="68"/>
      <c r="M266" s="68"/>
      <c r="N266" s="68"/>
      <c r="O266" s="68"/>
      <c r="P266" s="68"/>
    </row>
    <row r="267">
      <c r="K267" s="68"/>
      <c r="L267" s="68"/>
      <c r="M267" s="68"/>
      <c r="N267" s="68"/>
      <c r="O267" s="68"/>
      <c r="P267" s="68"/>
    </row>
    <row r="268">
      <c r="K268" s="68"/>
      <c r="L268" s="68"/>
      <c r="M268" s="68"/>
      <c r="N268" s="68"/>
      <c r="O268" s="68"/>
      <c r="P268" s="68"/>
    </row>
    <row r="269">
      <c r="K269" s="68"/>
      <c r="L269" s="68"/>
      <c r="M269" s="68"/>
      <c r="N269" s="68"/>
      <c r="O269" s="68"/>
      <c r="P269" s="68"/>
    </row>
    <row r="270">
      <c r="K270" s="68"/>
      <c r="L270" s="68"/>
      <c r="M270" s="68"/>
      <c r="N270" s="68"/>
      <c r="O270" s="68"/>
      <c r="P270" s="68"/>
    </row>
    <row r="271">
      <c r="K271" s="68"/>
      <c r="L271" s="68"/>
      <c r="M271" s="68"/>
      <c r="N271" s="68"/>
      <c r="O271" s="68"/>
      <c r="P271" s="68"/>
    </row>
    <row r="272">
      <c r="K272" s="68"/>
      <c r="L272" s="68"/>
      <c r="M272" s="68"/>
      <c r="N272" s="68"/>
      <c r="O272" s="68"/>
      <c r="P272" s="68"/>
    </row>
    <row r="273">
      <c r="K273" s="68"/>
      <c r="L273" s="68"/>
      <c r="M273" s="68"/>
      <c r="N273" s="68"/>
      <c r="O273" s="68"/>
      <c r="P273" s="68"/>
    </row>
    <row r="274">
      <c r="K274" s="68"/>
      <c r="L274" s="68"/>
      <c r="M274" s="68"/>
      <c r="N274" s="68"/>
      <c r="O274" s="68"/>
      <c r="P274" s="68"/>
    </row>
    <row r="275">
      <c r="K275" s="68"/>
      <c r="L275" s="68"/>
      <c r="M275" s="68"/>
      <c r="N275" s="68"/>
      <c r="O275" s="68"/>
      <c r="P275" s="68"/>
    </row>
    <row r="276">
      <c r="K276" s="68"/>
      <c r="L276" s="68"/>
      <c r="M276" s="68"/>
      <c r="N276" s="68"/>
      <c r="O276" s="68"/>
      <c r="P276" s="68"/>
    </row>
    <row r="277">
      <c r="K277" s="68"/>
      <c r="L277" s="68"/>
      <c r="M277" s="68"/>
      <c r="N277" s="68"/>
      <c r="O277" s="68"/>
      <c r="P277" s="68"/>
    </row>
    <row r="278">
      <c r="K278" s="68"/>
      <c r="L278" s="68"/>
      <c r="M278" s="68"/>
      <c r="N278" s="68"/>
      <c r="O278" s="68"/>
      <c r="P278" s="68"/>
    </row>
    <row r="279">
      <c r="K279" s="68"/>
      <c r="L279" s="68"/>
      <c r="M279" s="68"/>
      <c r="N279" s="68"/>
      <c r="O279" s="68"/>
      <c r="P279" s="68"/>
    </row>
    <row r="280">
      <c r="K280" s="68"/>
      <c r="L280" s="68"/>
      <c r="M280" s="68"/>
      <c r="N280" s="68"/>
      <c r="O280" s="68"/>
      <c r="P280" s="68"/>
    </row>
    <row r="281">
      <c r="K281" s="68"/>
      <c r="L281" s="68"/>
      <c r="M281" s="68"/>
      <c r="N281" s="68"/>
      <c r="O281" s="68"/>
      <c r="P281" s="68"/>
    </row>
    <row r="282">
      <c r="K282" s="68"/>
      <c r="L282" s="68"/>
      <c r="M282" s="68"/>
      <c r="N282" s="68"/>
      <c r="O282" s="68"/>
      <c r="P282" s="68"/>
    </row>
    <row r="283">
      <c r="K283" s="68"/>
      <c r="L283" s="68"/>
      <c r="M283" s="68"/>
      <c r="N283" s="68"/>
      <c r="O283" s="68"/>
      <c r="P283" s="68"/>
    </row>
    <row r="284">
      <c r="K284" s="68"/>
      <c r="L284" s="68"/>
      <c r="M284" s="68"/>
      <c r="N284" s="68"/>
      <c r="O284" s="68"/>
      <c r="P284" s="68"/>
    </row>
    <row r="285">
      <c r="K285" s="68"/>
      <c r="L285" s="68"/>
      <c r="M285" s="68"/>
      <c r="N285" s="68"/>
      <c r="O285" s="68"/>
      <c r="P285" s="68"/>
    </row>
    <row r="286">
      <c r="K286" s="68"/>
      <c r="L286" s="68"/>
      <c r="M286" s="68"/>
      <c r="N286" s="68"/>
      <c r="O286" s="68"/>
      <c r="P286" s="68"/>
    </row>
    <row r="287">
      <c r="K287" s="68"/>
      <c r="L287" s="68"/>
      <c r="M287" s="68"/>
      <c r="N287" s="68"/>
      <c r="O287" s="68"/>
      <c r="P287" s="68"/>
    </row>
    <row r="288">
      <c r="K288" s="68"/>
      <c r="L288" s="68"/>
      <c r="M288" s="68"/>
      <c r="N288" s="68"/>
      <c r="O288" s="68"/>
      <c r="P288" s="68"/>
    </row>
    <row r="289">
      <c r="K289" s="68"/>
      <c r="L289" s="68"/>
      <c r="M289" s="68"/>
      <c r="N289" s="68"/>
      <c r="O289" s="68"/>
      <c r="P289" s="68"/>
    </row>
    <row r="290">
      <c r="K290" s="68"/>
      <c r="L290" s="68"/>
      <c r="M290" s="68"/>
      <c r="N290" s="68"/>
      <c r="O290" s="68"/>
      <c r="P290" s="68"/>
    </row>
    <row r="291">
      <c r="K291" s="68"/>
      <c r="L291" s="68"/>
      <c r="M291" s="68"/>
      <c r="N291" s="68"/>
      <c r="O291" s="68"/>
      <c r="P291" s="68"/>
    </row>
    <row r="292">
      <c r="K292" s="68"/>
      <c r="L292" s="68"/>
      <c r="M292" s="68"/>
      <c r="N292" s="68"/>
      <c r="O292" s="68"/>
      <c r="P292" s="68"/>
    </row>
    <row r="293">
      <c r="K293" s="68"/>
      <c r="L293" s="68"/>
      <c r="M293" s="68"/>
      <c r="N293" s="68"/>
      <c r="O293" s="68"/>
      <c r="P293" s="68"/>
    </row>
    <row r="294">
      <c r="K294" s="68"/>
      <c r="L294" s="68"/>
      <c r="M294" s="68"/>
      <c r="N294" s="68"/>
      <c r="O294" s="68"/>
      <c r="P294" s="68"/>
    </row>
    <row r="295">
      <c r="K295" s="68"/>
      <c r="L295" s="68"/>
      <c r="M295" s="68"/>
      <c r="N295" s="68"/>
      <c r="O295" s="68"/>
      <c r="P295" s="68"/>
    </row>
    <row r="296">
      <c r="K296" s="68"/>
      <c r="L296" s="68"/>
      <c r="M296" s="68"/>
      <c r="N296" s="68"/>
      <c r="O296" s="68"/>
      <c r="P296" s="68"/>
    </row>
    <row r="297">
      <c r="K297" s="68"/>
      <c r="L297" s="68"/>
      <c r="M297" s="68"/>
      <c r="N297" s="68"/>
      <c r="O297" s="68"/>
      <c r="P297" s="68"/>
    </row>
    <row r="298">
      <c r="K298" s="68"/>
      <c r="L298" s="68"/>
      <c r="M298" s="68"/>
      <c r="N298" s="68"/>
      <c r="O298" s="68"/>
      <c r="P298" s="68"/>
    </row>
    <row r="299">
      <c r="K299" s="68"/>
      <c r="L299" s="68"/>
      <c r="M299" s="68"/>
      <c r="N299" s="68"/>
      <c r="O299" s="68"/>
      <c r="P299" s="68"/>
    </row>
    <row r="300">
      <c r="K300" s="68"/>
      <c r="L300" s="68"/>
      <c r="M300" s="68"/>
      <c r="N300" s="68"/>
      <c r="O300" s="68"/>
      <c r="P300" s="68"/>
    </row>
    <row r="301">
      <c r="K301" s="68"/>
      <c r="L301" s="68"/>
      <c r="M301" s="68"/>
      <c r="N301" s="68"/>
      <c r="O301" s="68"/>
      <c r="P301" s="68"/>
    </row>
    <row r="302">
      <c r="K302" s="68"/>
      <c r="L302" s="68"/>
      <c r="M302" s="68"/>
      <c r="N302" s="68"/>
      <c r="O302" s="68"/>
      <c r="P302" s="68"/>
    </row>
    <row r="303">
      <c r="K303" s="68"/>
      <c r="L303" s="68"/>
      <c r="M303" s="68"/>
      <c r="N303" s="68"/>
      <c r="O303" s="68"/>
      <c r="P303" s="68"/>
    </row>
    <row r="304">
      <c r="K304" s="68"/>
      <c r="L304" s="68"/>
      <c r="M304" s="68"/>
      <c r="N304" s="68"/>
      <c r="O304" s="68"/>
      <c r="P304" s="68"/>
    </row>
    <row r="305">
      <c r="K305" s="68"/>
      <c r="L305" s="68"/>
      <c r="M305" s="68"/>
      <c r="N305" s="68"/>
      <c r="O305" s="68"/>
      <c r="P305" s="68"/>
    </row>
    <row r="306">
      <c r="K306" s="68"/>
      <c r="L306" s="68"/>
      <c r="M306" s="68"/>
      <c r="N306" s="68"/>
      <c r="O306" s="68"/>
      <c r="P306" s="68"/>
    </row>
    <row r="307">
      <c r="K307" s="68"/>
      <c r="L307" s="68"/>
      <c r="M307" s="68"/>
      <c r="N307" s="68"/>
      <c r="O307" s="68"/>
      <c r="P307" s="68"/>
    </row>
    <row r="308">
      <c r="K308" s="68"/>
      <c r="L308" s="68"/>
      <c r="M308" s="68"/>
      <c r="N308" s="68"/>
      <c r="O308" s="68"/>
      <c r="P308" s="68"/>
    </row>
    <row r="309">
      <c r="K309" s="68"/>
      <c r="L309" s="68"/>
      <c r="M309" s="68"/>
      <c r="N309" s="68"/>
      <c r="O309" s="68"/>
      <c r="P309" s="68"/>
    </row>
    <row r="310">
      <c r="K310" s="68"/>
      <c r="L310" s="68"/>
      <c r="M310" s="68"/>
      <c r="N310" s="68"/>
      <c r="O310" s="68"/>
      <c r="P310" s="68"/>
    </row>
    <row r="311">
      <c r="K311" s="68"/>
      <c r="L311" s="68"/>
      <c r="M311" s="68"/>
      <c r="N311" s="68"/>
      <c r="O311" s="68"/>
      <c r="P311" s="68"/>
    </row>
    <row r="312">
      <c r="K312" s="68"/>
      <c r="L312" s="68"/>
      <c r="M312" s="68"/>
      <c r="N312" s="68"/>
      <c r="O312" s="68"/>
      <c r="P312" s="68"/>
    </row>
    <row r="313">
      <c r="K313" s="68"/>
      <c r="L313" s="68"/>
      <c r="M313" s="68"/>
      <c r="N313" s="68"/>
      <c r="O313" s="68"/>
      <c r="P313" s="68"/>
    </row>
    <row r="314">
      <c r="K314" s="68"/>
      <c r="L314" s="68"/>
      <c r="M314" s="68"/>
      <c r="N314" s="68"/>
      <c r="O314" s="68"/>
      <c r="P314" s="68"/>
    </row>
    <row r="315">
      <c r="K315" s="68"/>
      <c r="L315" s="68"/>
      <c r="M315" s="68"/>
      <c r="N315" s="68"/>
      <c r="O315" s="68"/>
      <c r="P315" s="68"/>
    </row>
    <row r="316">
      <c r="K316" s="68"/>
      <c r="L316" s="68"/>
      <c r="M316" s="68"/>
      <c r="N316" s="68"/>
      <c r="O316" s="68"/>
      <c r="P316" s="68"/>
    </row>
    <row r="317">
      <c r="K317" s="68"/>
      <c r="L317" s="68"/>
      <c r="M317" s="68"/>
      <c r="N317" s="68"/>
      <c r="O317" s="68"/>
      <c r="P317" s="68"/>
    </row>
    <row r="318">
      <c r="K318" s="68"/>
      <c r="L318" s="68"/>
      <c r="M318" s="68"/>
      <c r="N318" s="68"/>
      <c r="O318" s="68"/>
      <c r="P318" s="68"/>
    </row>
    <row r="319">
      <c r="K319" s="68"/>
      <c r="L319" s="68"/>
      <c r="M319" s="68"/>
      <c r="N319" s="68"/>
      <c r="O319" s="68"/>
      <c r="P319" s="68"/>
    </row>
    <row r="320">
      <c r="K320" s="68"/>
      <c r="L320" s="68"/>
      <c r="M320" s="68"/>
      <c r="N320" s="68"/>
      <c r="O320" s="68"/>
      <c r="P320" s="68"/>
    </row>
    <row r="321">
      <c r="K321" s="68"/>
      <c r="L321" s="68"/>
      <c r="M321" s="68"/>
      <c r="N321" s="68"/>
      <c r="O321" s="68"/>
      <c r="P321" s="68"/>
    </row>
    <row r="322">
      <c r="K322" s="68"/>
      <c r="L322" s="68"/>
      <c r="M322" s="68"/>
      <c r="N322" s="68"/>
      <c r="O322" s="68"/>
      <c r="P322" s="68"/>
    </row>
    <row r="323">
      <c r="K323" s="68"/>
      <c r="L323" s="68"/>
      <c r="M323" s="68"/>
      <c r="N323" s="68"/>
      <c r="O323" s="68"/>
      <c r="P323" s="68"/>
    </row>
    <row r="324">
      <c r="K324" s="68"/>
      <c r="L324" s="68"/>
      <c r="M324" s="68"/>
      <c r="N324" s="68"/>
      <c r="O324" s="68"/>
      <c r="P324" s="68"/>
    </row>
    <row r="325">
      <c r="K325" s="68"/>
      <c r="L325" s="68"/>
      <c r="M325" s="68"/>
      <c r="N325" s="68"/>
      <c r="O325" s="68"/>
      <c r="P325" s="68"/>
    </row>
    <row r="326">
      <c r="K326" s="68"/>
      <c r="L326" s="68"/>
      <c r="M326" s="68"/>
      <c r="N326" s="68"/>
      <c r="O326" s="68"/>
      <c r="P326" s="68"/>
    </row>
    <row r="327">
      <c r="K327" s="68"/>
      <c r="L327" s="68"/>
      <c r="M327" s="68"/>
      <c r="N327" s="68"/>
      <c r="O327" s="68"/>
      <c r="P327" s="68"/>
    </row>
    <row r="328">
      <c r="K328" s="68"/>
      <c r="L328" s="68"/>
      <c r="M328" s="68"/>
      <c r="N328" s="68"/>
      <c r="O328" s="68"/>
      <c r="P328" s="68"/>
    </row>
    <row r="329">
      <c r="K329" s="68"/>
      <c r="L329" s="68"/>
      <c r="M329" s="68"/>
      <c r="N329" s="68"/>
      <c r="O329" s="68"/>
      <c r="P329" s="68"/>
    </row>
    <row r="330">
      <c r="K330" s="68"/>
      <c r="L330" s="68"/>
      <c r="M330" s="68"/>
      <c r="N330" s="68"/>
      <c r="O330" s="68"/>
      <c r="P330" s="68"/>
    </row>
    <row r="331">
      <c r="K331" s="68"/>
      <c r="L331" s="68"/>
      <c r="M331" s="68"/>
      <c r="N331" s="68"/>
      <c r="O331" s="68"/>
      <c r="P331" s="68"/>
    </row>
    <row r="332">
      <c r="K332" s="68"/>
      <c r="L332" s="68"/>
      <c r="M332" s="68"/>
      <c r="N332" s="68"/>
      <c r="O332" s="68"/>
      <c r="P332" s="68"/>
    </row>
    <row r="333">
      <c r="K333" s="68"/>
      <c r="L333" s="68"/>
      <c r="M333" s="68"/>
      <c r="N333" s="68"/>
      <c r="O333" s="68"/>
      <c r="P333" s="68"/>
    </row>
    <row r="334">
      <c r="K334" s="68"/>
      <c r="L334" s="68"/>
      <c r="M334" s="68"/>
      <c r="N334" s="68"/>
      <c r="O334" s="68"/>
      <c r="P334" s="68"/>
    </row>
    <row r="335">
      <c r="K335" s="68"/>
      <c r="L335" s="68"/>
      <c r="M335" s="68"/>
      <c r="N335" s="68"/>
      <c r="O335" s="68"/>
      <c r="P335" s="68"/>
    </row>
    <row r="336">
      <c r="K336" s="68"/>
      <c r="L336" s="68"/>
      <c r="M336" s="68"/>
      <c r="N336" s="68"/>
      <c r="O336" s="68"/>
      <c r="P336" s="68"/>
    </row>
    <row r="337">
      <c r="K337" s="68"/>
      <c r="L337" s="68"/>
      <c r="M337" s="68"/>
      <c r="N337" s="68"/>
      <c r="O337" s="68"/>
      <c r="P337" s="68"/>
    </row>
    <row r="338">
      <c r="K338" s="68"/>
      <c r="L338" s="68"/>
      <c r="M338" s="68"/>
      <c r="N338" s="68"/>
      <c r="O338" s="68"/>
      <c r="P338" s="68"/>
    </row>
    <row r="339">
      <c r="K339" s="68"/>
      <c r="L339" s="68"/>
      <c r="M339" s="68"/>
      <c r="N339" s="68"/>
      <c r="O339" s="68"/>
      <c r="P339" s="68"/>
    </row>
    <row r="340">
      <c r="K340" s="68"/>
      <c r="L340" s="68"/>
      <c r="M340" s="68"/>
      <c r="N340" s="68"/>
      <c r="O340" s="68"/>
      <c r="P340" s="68"/>
    </row>
    <row r="341">
      <c r="K341" s="68"/>
      <c r="L341" s="68"/>
      <c r="M341" s="68"/>
      <c r="N341" s="68"/>
      <c r="O341" s="68"/>
      <c r="P341" s="68"/>
    </row>
    <row r="342">
      <c r="K342" s="68"/>
      <c r="L342" s="68"/>
      <c r="M342" s="68"/>
      <c r="N342" s="68"/>
      <c r="O342" s="68"/>
      <c r="P342" s="68"/>
    </row>
    <row r="343">
      <c r="K343" s="68"/>
      <c r="L343" s="68"/>
      <c r="M343" s="68"/>
      <c r="N343" s="68"/>
      <c r="O343" s="68"/>
      <c r="P343" s="68"/>
    </row>
    <row r="344">
      <c r="K344" s="68"/>
      <c r="L344" s="68"/>
      <c r="M344" s="68"/>
      <c r="N344" s="68"/>
      <c r="O344" s="68"/>
      <c r="P344" s="68"/>
    </row>
    <row r="345">
      <c r="K345" s="68"/>
      <c r="L345" s="68"/>
      <c r="M345" s="68"/>
      <c r="N345" s="68"/>
      <c r="O345" s="68"/>
      <c r="P345" s="68"/>
    </row>
    <row r="346">
      <c r="K346" s="68"/>
      <c r="L346" s="68"/>
      <c r="M346" s="68"/>
      <c r="N346" s="68"/>
      <c r="O346" s="68"/>
      <c r="P346" s="68"/>
    </row>
    <row r="347">
      <c r="K347" s="68"/>
      <c r="L347" s="68"/>
      <c r="M347" s="68"/>
      <c r="N347" s="68"/>
      <c r="O347" s="68"/>
      <c r="P347" s="68"/>
    </row>
    <row r="348">
      <c r="K348" s="68"/>
      <c r="L348" s="68"/>
      <c r="M348" s="68"/>
      <c r="N348" s="68"/>
      <c r="O348" s="68"/>
      <c r="P348" s="68"/>
    </row>
    <row r="349">
      <c r="K349" s="68"/>
      <c r="L349" s="68"/>
      <c r="M349" s="68"/>
      <c r="N349" s="68"/>
      <c r="O349" s="68"/>
      <c r="P349" s="68"/>
    </row>
    <row r="350">
      <c r="K350" s="68"/>
      <c r="L350" s="68"/>
      <c r="M350" s="68"/>
      <c r="N350" s="68"/>
      <c r="O350" s="68"/>
      <c r="P350" s="68"/>
    </row>
    <row r="351">
      <c r="K351" s="68"/>
      <c r="L351" s="68"/>
      <c r="M351" s="68"/>
      <c r="N351" s="68"/>
      <c r="O351" s="68"/>
      <c r="P351" s="68"/>
    </row>
    <row r="352">
      <c r="K352" s="68"/>
      <c r="L352" s="68"/>
      <c r="M352" s="68"/>
      <c r="N352" s="68"/>
      <c r="O352" s="68"/>
      <c r="P352" s="68"/>
    </row>
    <row r="353">
      <c r="K353" s="68"/>
      <c r="L353" s="68"/>
      <c r="M353" s="68"/>
      <c r="N353" s="68"/>
      <c r="O353" s="68"/>
      <c r="P353" s="68"/>
    </row>
    <row r="354">
      <c r="K354" s="68"/>
      <c r="L354" s="68"/>
      <c r="M354" s="68"/>
      <c r="N354" s="68"/>
      <c r="O354" s="68"/>
      <c r="P354" s="68"/>
    </row>
    <row r="355">
      <c r="K355" s="68"/>
      <c r="L355" s="68"/>
      <c r="M355" s="68"/>
      <c r="N355" s="68"/>
      <c r="O355" s="68"/>
      <c r="P355" s="68"/>
    </row>
    <row r="356">
      <c r="K356" s="68"/>
      <c r="L356" s="68"/>
      <c r="M356" s="68"/>
      <c r="N356" s="68"/>
      <c r="O356" s="68"/>
      <c r="P356" s="68"/>
    </row>
    <row r="357">
      <c r="K357" s="68"/>
      <c r="L357" s="68"/>
      <c r="M357" s="68"/>
      <c r="N357" s="68"/>
      <c r="O357" s="68"/>
      <c r="P357" s="68"/>
    </row>
    <row r="358">
      <c r="K358" s="68"/>
      <c r="L358" s="68"/>
      <c r="M358" s="68"/>
      <c r="N358" s="68"/>
      <c r="O358" s="68"/>
      <c r="P358" s="68"/>
    </row>
    <row r="359">
      <c r="K359" s="68"/>
      <c r="L359" s="68"/>
      <c r="M359" s="68"/>
      <c r="N359" s="68"/>
      <c r="O359" s="68"/>
      <c r="P359" s="68"/>
    </row>
    <row r="360">
      <c r="K360" s="68"/>
      <c r="L360" s="68"/>
      <c r="M360" s="68"/>
      <c r="N360" s="68"/>
      <c r="O360" s="68"/>
      <c r="P360" s="68"/>
    </row>
    <row r="361">
      <c r="K361" s="68"/>
      <c r="L361" s="68"/>
      <c r="M361" s="68"/>
      <c r="N361" s="68"/>
      <c r="O361" s="68"/>
      <c r="P361" s="68"/>
    </row>
    <row r="362">
      <c r="K362" s="68"/>
      <c r="L362" s="68"/>
      <c r="M362" s="68"/>
      <c r="N362" s="68"/>
      <c r="O362" s="68"/>
      <c r="P362" s="68"/>
    </row>
    <row r="363">
      <c r="K363" s="68"/>
      <c r="L363" s="68"/>
      <c r="M363" s="68"/>
      <c r="N363" s="68"/>
      <c r="O363" s="68"/>
      <c r="P363" s="68"/>
    </row>
    <row r="364">
      <c r="K364" s="68"/>
      <c r="L364" s="68"/>
      <c r="M364" s="68"/>
      <c r="N364" s="68"/>
      <c r="O364" s="68"/>
      <c r="P364" s="68"/>
    </row>
    <row r="365">
      <c r="K365" s="68"/>
      <c r="L365" s="68"/>
      <c r="M365" s="68"/>
      <c r="N365" s="68"/>
      <c r="O365" s="68"/>
      <c r="P365" s="68"/>
    </row>
    <row r="366">
      <c r="K366" s="68"/>
      <c r="L366" s="68"/>
      <c r="M366" s="68"/>
      <c r="N366" s="68"/>
      <c r="O366" s="68"/>
      <c r="P366" s="68"/>
    </row>
    <row r="367">
      <c r="K367" s="68"/>
      <c r="L367" s="68"/>
      <c r="M367" s="68"/>
      <c r="N367" s="68"/>
      <c r="O367" s="68"/>
      <c r="P367" s="68"/>
    </row>
    <row r="368">
      <c r="K368" s="68"/>
      <c r="L368" s="68"/>
      <c r="M368" s="68"/>
      <c r="N368" s="68"/>
      <c r="O368" s="68"/>
      <c r="P368" s="68"/>
    </row>
    <row r="369">
      <c r="K369" s="68"/>
      <c r="L369" s="68"/>
      <c r="M369" s="68"/>
      <c r="N369" s="68"/>
      <c r="O369" s="68"/>
      <c r="P369" s="68"/>
    </row>
    <row r="370">
      <c r="K370" s="68"/>
      <c r="L370" s="68"/>
      <c r="M370" s="68"/>
      <c r="N370" s="68"/>
      <c r="O370" s="68"/>
      <c r="P370" s="68"/>
    </row>
    <row r="371">
      <c r="K371" s="68"/>
      <c r="L371" s="68"/>
      <c r="M371" s="68"/>
      <c r="N371" s="68"/>
      <c r="O371" s="68"/>
      <c r="P371" s="68"/>
    </row>
    <row r="372">
      <c r="K372" s="68"/>
      <c r="L372" s="68"/>
      <c r="M372" s="68"/>
      <c r="N372" s="68"/>
      <c r="O372" s="68"/>
      <c r="P372" s="68"/>
    </row>
    <row r="373">
      <c r="K373" s="68"/>
      <c r="L373" s="68"/>
      <c r="M373" s="68"/>
      <c r="N373" s="68"/>
      <c r="O373" s="68"/>
      <c r="P373" s="68"/>
    </row>
    <row r="374">
      <c r="K374" s="68"/>
      <c r="L374" s="68"/>
      <c r="M374" s="68"/>
      <c r="N374" s="68"/>
      <c r="O374" s="68"/>
      <c r="P374" s="68"/>
    </row>
    <row r="375">
      <c r="K375" s="68"/>
      <c r="L375" s="68"/>
      <c r="M375" s="68"/>
      <c r="N375" s="68"/>
      <c r="O375" s="68"/>
      <c r="P375" s="68"/>
    </row>
    <row r="376">
      <c r="K376" s="68"/>
      <c r="L376" s="68"/>
      <c r="M376" s="68"/>
      <c r="N376" s="68"/>
      <c r="O376" s="68"/>
      <c r="P376" s="68"/>
    </row>
    <row r="377">
      <c r="K377" s="68"/>
      <c r="L377" s="68"/>
      <c r="M377" s="68"/>
      <c r="N377" s="68"/>
      <c r="O377" s="68"/>
      <c r="P377" s="68"/>
    </row>
    <row r="378">
      <c r="K378" s="68"/>
      <c r="L378" s="68"/>
      <c r="M378" s="68"/>
      <c r="N378" s="68"/>
      <c r="O378" s="68"/>
      <c r="P378" s="68"/>
    </row>
    <row r="379">
      <c r="K379" s="68"/>
      <c r="L379" s="68"/>
      <c r="M379" s="68"/>
      <c r="N379" s="68"/>
      <c r="O379" s="68"/>
      <c r="P379" s="68"/>
    </row>
    <row r="380">
      <c r="K380" s="68"/>
      <c r="L380" s="68"/>
      <c r="M380" s="68"/>
      <c r="N380" s="68"/>
      <c r="O380" s="68"/>
      <c r="P380" s="68"/>
    </row>
    <row r="381">
      <c r="K381" s="68"/>
      <c r="L381" s="68"/>
      <c r="M381" s="68"/>
      <c r="N381" s="68"/>
      <c r="O381" s="68"/>
      <c r="P381" s="68"/>
    </row>
    <row r="382">
      <c r="K382" s="68"/>
      <c r="L382" s="68"/>
      <c r="M382" s="68"/>
      <c r="N382" s="68"/>
      <c r="O382" s="68"/>
      <c r="P382" s="68"/>
    </row>
    <row r="383">
      <c r="K383" s="68"/>
      <c r="L383" s="68"/>
      <c r="M383" s="68"/>
      <c r="N383" s="68"/>
      <c r="O383" s="68"/>
      <c r="P383" s="68"/>
    </row>
    <row r="384">
      <c r="K384" s="68"/>
      <c r="L384" s="68"/>
      <c r="M384" s="68"/>
      <c r="N384" s="68"/>
      <c r="O384" s="68"/>
      <c r="P384" s="68"/>
    </row>
    <row r="385">
      <c r="K385" s="68"/>
      <c r="L385" s="68"/>
      <c r="M385" s="68"/>
      <c r="N385" s="68"/>
      <c r="O385" s="68"/>
      <c r="P385" s="68"/>
    </row>
    <row r="386">
      <c r="K386" s="68"/>
      <c r="L386" s="68"/>
      <c r="M386" s="68"/>
      <c r="N386" s="68"/>
      <c r="O386" s="68"/>
      <c r="P386" s="68"/>
    </row>
    <row r="387">
      <c r="K387" s="68"/>
      <c r="L387" s="68"/>
      <c r="M387" s="68"/>
      <c r="N387" s="68"/>
      <c r="O387" s="68"/>
      <c r="P387" s="68"/>
    </row>
    <row r="388">
      <c r="K388" s="68"/>
      <c r="L388" s="68"/>
      <c r="M388" s="68"/>
      <c r="N388" s="68"/>
      <c r="O388" s="68"/>
      <c r="P388" s="68"/>
    </row>
    <row r="389">
      <c r="K389" s="68"/>
      <c r="L389" s="68"/>
      <c r="M389" s="68"/>
      <c r="N389" s="68"/>
      <c r="O389" s="68"/>
      <c r="P389" s="68"/>
    </row>
    <row r="390">
      <c r="K390" s="68"/>
      <c r="L390" s="68"/>
      <c r="M390" s="68"/>
      <c r="N390" s="68"/>
      <c r="O390" s="68"/>
      <c r="P390" s="68"/>
    </row>
    <row r="391">
      <c r="K391" s="68"/>
      <c r="L391" s="68"/>
      <c r="M391" s="68"/>
      <c r="N391" s="68"/>
      <c r="O391" s="68"/>
      <c r="P391" s="68"/>
    </row>
    <row r="392">
      <c r="K392" s="68"/>
      <c r="L392" s="68"/>
      <c r="M392" s="68"/>
      <c r="N392" s="68"/>
      <c r="O392" s="68"/>
      <c r="P392" s="68"/>
    </row>
    <row r="393">
      <c r="K393" s="68"/>
      <c r="L393" s="68"/>
      <c r="M393" s="68"/>
      <c r="N393" s="68"/>
      <c r="O393" s="68"/>
      <c r="P393" s="68"/>
    </row>
    <row r="394">
      <c r="K394" s="68"/>
      <c r="L394" s="68"/>
      <c r="M394" s="68"/>
      <c r="N394" s="68"/>
      <c r="O394" s="68"/>
      <c r="P394" s="68"/>
    </row>
    <row r="395">
      <c r="K395" s="68"/>
      <c r="L395" s="68"/>
      <c r="M395" s="68"/>
      <c r="N395" s="68"/>
      <c r="O395" s="68"/>
      <c r="P395" s="68"/>
    </row>
    <row r="396">
      <c r="K396" s="68"/>
      <c r="L396" s="68"/>
      <c r="M396" s="68"/>
      <c r="N396" s="68"/>
      <c r="O396" s="68"/>
      <c r="P396" s="68"/>
    </row>
    <row r="397">
      <c r="K397" s="68"/>
      <c r="L397" s="68"/>
      <c r="M397" s="68"/>
      <c r="N397" s="68"/>
      <c r="O397" s="68"/>
      <c r="P397" s="68"/>
    </row>
    <row r="398">
      <c r="K398" s="68"/>
      <c r="L398" s="68"/>
      <c r="M398" s="68"/>
      <c r="N398" s="68"/>
      <c r="O398" s="68"/>
      <c r="P398" s="68"/>
    </row>
    <row r="399">
      <c r="K399" s="68"/>
      <c r="L399" s="68"/>
      <c r="M399" s="68"/>
      <c r="N399" s="68"/>
      <c r="O399" s="68"/>
      <c r="P399" s="68"/>
    </row>
    <row r="400">
      <c r="K400" s="68"/>
      <c r="L400" s="68"/>
      <c r="M400" s="68"/>
      <c r="N400" s="68"/>
      <c r="O400" s="68"/>
      <c r="P400" s="68"/>
    </row>
    <row r="401">
      <c r="K401" s="68"/>
      <c r="L401" s="68"/>
      <c r="M401" s="68"/>
      <c r="N401" s="68"/>
      <c r="O401" s="68"/>
      <c r="P401" s="68"/>
    </row>
    <row r="402">
      <c r="K402" s="68"/>
      <c r="L402" s="68"/>
      <c r="M402" s="68"/>
      <c r="N402" s="68"/>
      <c r="O402" s="68"/>
      <c r="P402" s="68"/>
    </row>
    <row r="403">
      <c r="K403" s="68"/>
      <c r="L403" s="68"/>
      <c r="M403" s="68"/>
      <c r="N403" s="68"/>
      <c r="O403" s="68"/>
      <c r="P403" s="68"/>
    </row>
    <row r="404">
      <c r="K404" s="68"/>
      <c r="L404" s="68"/>
      <c r="M404" s="68"/>
      <c r="N404" s="68"/>
      <c r="O404" s="68"/>
      <c r="P404" s="68"/>
    </row>
    <row r="405">
      <c r="K405" s="68"/>
      <c r="L405" s="68"/>
      <c r="M405" s="68"/>
      <c r="N405" s="68"/>
      <c r="O405" s="68"/>
      <c r="P405" s="68"/>
    </row>
    <row r="406">
      <c r="K406" s="68"/>
      <c r="L406" s="68"/>
      <c r="M406" s="68"/>
      <c r="N406" s="68"/>
      <c r="O406" s="68"/>
      <c r="P406" s="68"/>
    </row>
    <row r="407">
      <c r="K407" s="68"/>
      <c r="L407" s="68"/>
      <c r="M407" s="68"/>
      <c r="N407" s="68"/>
      <c r="O407" s="68"/>
      <c r="P407" s="68"/>
    </row>
    <row r="408">
      <c r="K408" s="68"/>
      <c r="L408" s="68"/>
      <c r="M408" s="68"/>
      <c r="N408" s="68"/>
      <c r="O408" s="68"/>
      <c r="P408" s="68"/>
    </row>
    <row r="409">
      <c r="K409" s="68"/>
      <c r="L409" s="68"/>
      <c r="M409" s="68"/>
      <c r="N409" s="68"/>
      <c r="O409" s="68"/>
      <c r="P409" s="68"/>
    </row>
    <row r="410">
      <c r="K410" s="68"/>
      <c r="L410" s="68"/>
      <c r="M410" s="68"/>
      <c r="N410" s="68"/>
      <c r="O410" s="68"/>
      <c r="P410" s="68"/>
    </row>
    <row r="411">
      <c r="K411" s="68"/>
      <c r="L411" s="68"/>
      <c r="M411" s="68"/>
      <c r="N411" s="68"/>
      <c r="O411" s="68"/>
      <c r="P411" s="68"/>
    </row>
    <row r="412">
      <c r="K412" s="68"/>
      <c r="L412" s="68"/>
      <c r="M412" s="68"/>
      <c r="N412" s="68"/>
      <c r="O412" s="68"/>
      <c r="P412" s="68"/>
    </row>
    <row r="413">
      <c r="K413" s="68"/>
      <c r="L413" s="68"/>
      <c r="M413" s="68"/>
      <c r="N413" s="68"/>
      <c r="O413" s="68"/>
      <c r="P413" s="68"/>
    </row>
    <row r="414">
      <c r="K414" s="68"/>
      <c r="L414" s="68"/>
      <c r="M414" s="68"/>
      <c r="N414" s="68"/>
      <c r="O414" s="68"/>
      <c r="P414" s="68"/>
    </row>
    <row r="415">
      <c r="K415" s="68"/>
      <c r="L415" s="68"/>
      <c r="M415" s="68"/>
      <c r="N415" s="68"/>
      <c r="O415" s="68"/>
      <c r="P415" s="68"/>
    </row>
    <row r="416">
      <c r="K416" s="68"/>
      <c r="L416" s="68"/>
      <c r="M416" s="68"/>
      <c r="N416" s="68"/>
      <c r="O416" s="68"/>
      <c r="P416" s="68"/>
    </row>
    <row r="417">
      <c r="K417" s="68"/>
      <c r="L417" s="68"/>
      <c r="M417" s="68"/>
      <c r="N417" s="68"/>
      <c r="O417" s="68"/>
      <c r="P417" s="68"/>
    </row>
    <row r="418">
      <c r="K418" s="68"/>
      <c r="L418" s="68"/>
      <c r="M418" s="68"/>
      <c r="N418" s="68"/>
      <c r="O418" s="68"/>
      <c r="P418" s="68"/>
    </row>
    <row r="419">
      <c r="K419" s="68"/>
      <c r="L419" s="68"/>
      <c r="M419" s="68"/>
      <c r="N419" s="68"/>
      <c r="O419" s="68"/>
      <c r="P419" s="68"/>
    </row>
    <row r="420">
      <c r="K420" s="68"/>
      <c r="L420" s="68"/>
      <c r="M420" s="68"/>
      <c r="N420" s="68"/>
      <c r="O420" s="68"/>
      <c r="P420" s="68"/>
    </row>
    <row r="421">
      <c r="K421" s="68"/>
      <c r="L421" s="68"/>
      <c r="M421" s="68"/>
      <c r="N421" s="68"/>
      <c r="O421" s="68"/>
      <c r="P421" s="68"/>
    </row>
    <row r="422">
      <c r="K422" s="68"/>
      <c r="L422" s="68"/>
      <c r="M422" s="68"/>
      <c r="N422" s="68"/>
      <c r="O422" s="68"/>
      <c r="P422" s="68"/>
    </row>
    <row r="423">
      <c r="K423" s="68"/>
      <c r="L423" s="68"/>
      <c r="M423" s="68"/>
      <c r="N423" s="68"/>
      <c r="O423" s="68"/>
      <c r="P423" s="68"/>
    </row>
    <row r="424">
      <c r="K424" s="68"/>
      <c r="L424" s="68"/>
      <c r="M424" s="68"/>
      <c r="N424" s="68"/>
      <c r="O424" s="68"/>
      <c r="P424" s="68"/>
    </row>
    <row r="425">
      <c r="K425" s="68"/>
      <c r="L425" s="68"/>
      <c r="M425" s="68"/>
      <c r="N425" s="68"/>
      <c r="O425" s="68"/>
      <c r="P425" s="68"/>
    </row>
    <row r="426">
      <c r="K426" s="68"/>
      <c r="L426" s="68"/>
      <c r="M426" s="68"/>
      <c r="N426" s="68"/>
      <c r="O426" s="68"/>
      <c r="P426" s="68"/>
    </row>
    <row r="427">
      <c r="K427" s="68"/>
      <c r="L427" s="68"/>
      <c r="M427" s="68"/>
      <c r="N427" s="68"/>
      <c r="O427" s="68"/>
      <c r="P427" s="68"/>
    </row>
    <row r="428">
      <c r="K428" s="68"/>
      <c r="L428" s="68"/>
      <c r="M428" s="68"/>
      <c r="N428" s="68"/>
      <c r="O428" s="68"/>
      <c r="P428" s="68"/>
    </row>
    <row r="429">
      <c r="K429" s="68"/>
      <c r="L429" s="68"/>
      <c r="M429" s="68"/>
      <c r="N429" s="68"/>
      <c r="O429" s="68"/>
      <c r="P429" s="68"/>
    </row>
    <row r="430">
      <c r="K430" s="68"/>
      <c r="L430" s="68"/>
      <c r="M430" s="68"/>
      <c r="N430" s="68"/>
      <c r="O430" s="68"/>
      <c r="P430" s="68"/>
    </row>
    <row r="431">
      <c r="K431" s="68"/>
      <c r="L431" s="68"/>
      <c r="M431" s="68"/>
      <c r="N431" s="68"/>
      <c r="O431" s="68"/>
      <c r="P431" s="68"/>
    </row>
    <row r="432">
      <c r="K432" s="68"/>
      <c r="L432" s="68"/>
      <c r="M432" s="68"/>
      <c r="N432" s="68"/>
      <c r="O432" s="68"/>
      <c r="P432" s="68"/>
    </row>
    <row r="433">
      <c r="K433" s="68"/>
      <c r="L433" s="68"/>
      <c r="M433" s="68"/>
      <c r="N433" s="68"/>
      <c r="O433" s="68"/>
      <c r="P433" s="68"/>
    </row>
    <row r="434">
      <c r="K434" s="68"/>
      <c r="L434" s="68"/>
      <c r="M434" s="68"/>
      <c r="N434" s="68"/>
      <c r="O434" s="68"/>
      <c r="P434" s="68"/>
    </row>
    <row r="435">
      <c r="K435" s="68"/>
      <c r="L435" s="68"/>
      <c r="M435" s="68"/>
      <c r="N435" s="68"/>
      <c r="O435" s="68"/>
      <c r="P435" s="68"/>
    </row>
    <row r="436">
      <c r="K436" s="68"/>
      <c r="L436" s="68"/>
      <c r="M436" s="68"/>
      <c r="N436" s="68"/>
      <c r="O436" s="68"/>
      <c r="P436" s="68"/>
    </row>
    <row r="437">
      <c r="K437" s="68"/>
      <c r="L437" s="68"/>
      <c r="M437" s="68"/>
      <c r="N437" s="68"/>
      <c r="O437" s="68"/>
      <c r="P437" s="68"/>
    </row>
    <row r="438">
      <c r="K438" s="68"/>
      <c r="L438" s="68"/>
      <c r="M438" s="68"/>
      <c r="N438" s="68"/>
      <c r="O438" s="68"/>
      <c r="P438" s="68"/>
    </row>
    <row r="439">
      <c r="K439" s="68"/>
      <c r="L439" s="68"/>
      <c r="M439" s="68"/>
      <c r="N439" s="68"/>
      <c r="O439" s="68"/>
      <c r="P439" s="68"/>
    </row>
    <row r="440">
      <c r="K440" s="68"/>
      <c r="L440" s="68"/>
      <c r="M440" s="68"/>
      <c r="N440" s="68"/>
      <c r="O440" s="68"/>
      <c r="P440" s="68"/>
    </row>
    <row r="441">
      <c r="K441" s="68"/>
      <c r="L441" s="68"/>
      <c r="M441" s="68"/>
      <c r="N441" s="68"/>
      <c r="O441" s="68"/>
      <c r="P441" s="68"/>
    </row>
    <row r="442">
      <c r="K442" s="68"/>
      <c r="L442" s="68"/>
      <c r="M442" s="68"/>
      <c r="N442" s="68"/>
      <c r="O442" s="68"/>
      <c r="P442" s="68"/>
    </row>
    <row r="443">
      <c r="K443" s="68"/>
      <c r="L443" s="68"/>
      <c r="M443" s="68"/>
      <c r="N443" s="68"/>
      <c r="O443" s="68"/>
      <c r="P443" s="68"/>
    </row>
    <row r="444">
      <c r="K444" s="68"/>
      <c r="L444" s="68"/>
      <c r="M444" s="68"/>
      <c r="N444" s="68"/>
      <c r="O444" s="68"/>
      <c r="P444" s="68"/>
    </row>
    <row r="445">
      <c r="K445" s="68"/>
      <c r="L445" s="68"/>
      <c r="M445" s="68"/>
      <c r="N445" s="68"/>
      <c r="O445" s="68"/>
      <c r="P445" s="68"/>
    </row>
    <row r="446">
      <c r="K446" s="68"/>
      <c r="L446" s="68"/>
      <c r="M446" s="68"/>
      <c r="N446" s="68"/>
      <c r="O446" s="68"/>
      <c r="P446" s="68"/>
    </row>
    <row r="447">
      <c r="K447" s="68"/>
      <c r="L447" s="68"/>
      <c r="M447" s="68"/>
      <c r="N447" s="68"/>
      <c r="O447" s="68"/>
      <c r="P447" s="68"/>
    </row>
    <row r="448">
      <c r="K448" s="68"/>
      <c r="L448" s="68"/>
      <c r="M448" s="68"/>
      <c r="N448" s="68"/>
      <c r="O448" s="68"/>
      <c r="P448" s="68"/>
    </row>
    <row r="449">
      <c r="K449" s="68"/>
      <c r="L449" s="68"/>
      <c r="M449" s="68"/>
      <c r="N449" s="68"/>
      <c r="O449" s="68"/>
      <c r="P449" s="68"/>
    </row>
    <row r="450">
      <c r="K450" s="68"/>
      <c r="L450" s="68"/>
      <c r="M450" s="68"/>
      <c r="N450" s="68"/>
      <c r="O450" s="68"/>
      <c r="P450" s="68"/>
    </row>
    <row r="451">
      <c r="K451" s="68"/>
      <c r="L451" s="68"/>
      <c r="M451" s="68"/>
      <c r="N451" s="68"/>
      <c r="O451" s="68"/>
      <c r="P451" s="68"/>
    </row>
    <row r="452">
      <c r="K452" s="68"/>
      <c r="L452" s="68"/>
      <c r="M452" s="68"/>
      <c r="N452" s="68"/>
      <c r="O452" s="68"/>
      <c r="P452" s="68"/>
    </row>
    <row r="453">
      <c r="K453" s="68"/>
      <c r="L453" s="68"/>
      <c r="M453" s="68"/>
      <c r="N453" s="68"/>
      <c r="O453" s="68"/>
      <c r="P453" s="68"/>
    </row>
    <row r="454">
      <c r="K454" s="68"/>
      <c r="L454" s="68"/>
      <c r="M454" s="68"/>
      <c r="N454" s="68"/>
      <c r="O454" s="68"/>
      <c r="P454" s="68"/>
    </row>
    <row r="455">
      <c r="K455" s="68"/>
      <c r="L455" s="68"/>
      <c r="M455" s="68"/>
      <c r="N455" s="68"/>
      <c r="O455" s="68"/>
      <c r="P455" s="68"/>
    </row>
    <row r="456">
      <c r="K456" s="68"/>
      <c r="L456" s="68"/>
      <c r="M456" s="68"/>
      <c r="N456" s="68"/>
      <c r="O456" s="68"/>
      <c r="P456" s="68"/>
    </row>
    <row r="457">
      <c r="K457" s="68"/>
      <c r="L457" s="68"/>
      <c r="M457" s="68"/>
      <c r="N457" s="68"/>
      <c r="O457" s="68"/>
      <c r="P457" s="68"/>
    </row>
    <row r="458">
      <c r="K458" s="68"/>
      <c r="L458" s="68"/>
      <c r="M458" s="68"/>
      <c r="N458" s="68"/>
      <c r="O458" s="68"/>
      <c r="P458" s="68"/>
    </row>
    <row r="459">
      <c r="K459" s="68"/>
      <c r="L459" s="68"/>
      <c r="M459" s="68"/>
      <c r="N459" s="68"/>
      <c r="O459" s="68"/>
      <c r="P459" s="68"/>
    </row>
    <row r="460">
      <c r="K460" s="68"/>
      <c r="L460" s="68"/>
      <c r="M460" s="68"/>
      <c r="N460" s="68"/>
      <c r="O460" s="68"/>
      <c r="P460" s="68"/>
    </row>
    <row r="461">
      <c r="K461" s="68"/>
      <c r="L461" s="68"/>
      <c r="M461" s="68"/>
      <c r="N461" s="68"/>
      <c r="O461" s="68"/>
      <c r="P461" s="68"/>
    </row>
    <row r="462">
      <c r="K462" s="68"/>
      <c r="L462" s="68"/>
      <c r="M462" s="68"/>
      <c r="N462" s="68"/>
      <c r="O462" s="68"/>
      <c r="P462" s="68"/>
    </row>
    <row r="463">
      <c r="K463" s="68"/>
      <c r="L463" s="68"/>
      <c r="M463" s="68"/>
      <c r="N463" s="68"/>
      <c r="O463" s="68"/>
      <c r="P463" s="68"/>
    </row>
    <row r="464">
      <c r="K464" s="68"/>
      <c r="L464" s="68"/>
      <c r="M464" s="68"/>
      <c r="N464" s="68"/>
      <c r="O464" s="68"/>
      <c r="P464" s="68"/>
    </row>
    <row r="465">
      <c r="K465" s="68"/>
      <c r="L465" s="68"/>
      <c r="M465" s="68"/>
      <c r="N465" s="68"/>
      <c r="O465" s="68"/>
      <c r="P465" s="68"/>
    </row>
    <row r="466">
      <c r="K466" s="68"/>
      <c r="L466" s="68"/>
      <c r="M466" s="68"/>
      <c r="N466" s="68"/>
      <c r="O466" s="68"/>
      <c r="P466" s="68"/>
    </row>
    <row r="467">
      <c r="K467" s="68"/>
      <c r="L467" s="68"/>
      <c r="M467" s="68"/>
      <c r="N467" s="68"/>
      <c r="O467" s="68"/>
      <c r="P467" s="68"/>
    </row>
    <row r="468">
      <c r="K468" s="68"/>
      <c r="L468" s="68"/>
      <c r="M468" s="68"/>
      <c r="N468" s="68"/>
      <c r="O468" s="68"/>
      <c r="P468" s="68"/>
    </row>
    <row r="469">
      <c r="K469" s="68"/>
      <c r="L469" s="68"/>
      <c r="M469" s="68"/>
      <c r="N469" s="68"/>
      <c r="O469" s="68"/>
      <c r="P469" s="68"/>
    </row>
    <row r="470">
      <c r="K470" s="68"/>
      <c r="L470" s="68"/>
      <c r="M470" s="68"/>
      <c r="N470" s="68"/>
      <c r="O470" s="68"/>
      <c r="P470" s="68"/>
    </row>
    <row r="471">
      <c r="K471" s="68"/>
      <c r="L471" s="68"/>
      <c r="M471" s="68"/>
      <c r="N471" s="68"/>
      <c r="O471" s="68"/>
      <c r="P471" s="68"/>
    </row>
    <row r="472">
      <c r="K472" s="68"/>
      <c r="L472" s="68"/>
      <c r="M472" s="68"/>
      <c r="N472" s="68"/>
      <c r="O472" s="68"/>
      <c r="P472" s="68"/>
    </row>
    <row r="473">
      <c r="K473" s="68"/>
      <c r="L473" s="68"/>
      <c r="M473" s="68"/>
      <c r="N473" s="68"/>
      <c r="O473" s="68"/>
      <c r="P473" s="68"/>
    </row>
    <row r="474">
      <c r="K474" s="68"/>
      <c r="L474" s="68"/>
      <c r="M474" s="68"/>
      <c r="N474" s="68"/>
      <c r="O474" s="68"/>
      <c r="P474" s="68"/>
    </row>
    <row r="475">
      <c r="K475" s="68"/>
      <c r="L475" s="68"/>
      <c r="M475" s="68"/>
      <c r="N475" s="68"/>
      <c r="O475" s="68"/>
      <c r="P475" s="68"/>
    </row>
    <row r="476">
      <c r="K476" s="68"/>
      <c r="L476" s="68"/>
      <c r="M476" s="68"/>
      <c r="N476" s="68"/>
      <c r="O476" s="68"/>
      <c r="P476" s="68"/>
    </row>
    <row r="477">
      <c r="K477" s="68"/>
      <c r="L477" s="68"/>
      <c r="M477" s="68"/>
      <c r="N477" s="68"/>
      <c r="O477" s="68"/>
      <c r="P477" s="68"/>
    </row>
    <row r="478">
      <c r="K478" s="68"/>
      <c r="L478" s="68"/>
      <c r="M478" s="68"/>
      <c r="N478" s="68"/>
      <c r="O478" s="68"/>
      <c r="P478" s="68"/>
    </row>
    <row r="479">
      <c r="K479" s="68"/>
      <c r="L479" s="68"/>
      <c r="M479" s="68"/>
      <c r="N479" s="68"/>
      <c r="O479" s="68"/>
      <c r="P479" s="68"/>
    </row>
    <row r="480">
      <c r="K480" s="68"/>
      <c r="L480" s="68"/>
      <c r="M480" s="68"/>
      <c r="N480" s="68"/>
      <c r="O480" s="68"/>
      <c r="P480" s="68"/>
    </row>
    <row r="481">
      <c r="K481" s="68"/>
      <c r="L481" s="68"/>
      <c r="M481" s="68"/>
      <c r="N481" s="68"/>
      <c r="O481" s="68"/>
      <c r="P481" s="68"/>
    </row>
    <row r="482">
      <c r="K482" s="68"/>
      <c r="L482" s="68"/>
      <c r="M482" s="68"/>
      <c r="N482" s="68"/>
      <c r="O482" s="68"/>
      <c r="P482" s="68"/>
    </row>
    <row r="483">
      <c r="K483" s="68"/>
      <c r="L483" s="68"/>
      <c r="M483" s="68"/>
      <c r="N483" s="68"/>
      <c r="O483" s="68"/>
      <c r="P483" s="68"/>
    </row>
    <row r="484">
      <c r="K484" s="68"/>
      <c r="L484" s="68"/>
      <c r="M484" s="68"/>
      <c r="N484" s="68"/>
      <c r="O484" s="68"/>
      <c r="P484" s="68"/>
    </row>
    <row r="485">
      <c r="K485" s="68"/>
      <c r="L485" s="68"/>
      <c r="M485" s="68"/>
      <c r="N485" s="68"/>
      <c r="O485" s="68"/>
      <c r="P485" s="68"/>
    </row>
    <row r="486">
      <c r="K486" s="68"/>
      <c r="L486" s="68"/>
      <c r="M486" s="68"/>
      <c r="N486" s="68"/>
      <c r="O486" s="68"/>
      <c r="P486" s="68"/>
    </row>
    <row r="487">
      <c r="K487" s="68"/>
      <c r="L487" s="68"/>
      <c r="M487" s="68"/>
      <c r="N487" s="68"/>
      <c r="O487" s="68"/>
      <c r="P487" s="68"/>
    </row>
    <row r="488">
      <c r="K488" s="68"/>
      <c r="L488" s="68"/>
      <c r="M488" s="68"/>
      <c r="N488" s="68"/>
      <c r="O488" s="68"/>
      <c r="P488" s="68"/>
    </row>
    <row r="489">
      <c r="K489" s="68"/>
      <c r="L489" s="68"/>
      <c r="M489" s="68"/>
      <c r="N489" s="68"/>
      <c r="O489" s="68"/>
      <c r="P489" s="68"/>
    </row>
    <row r="490">
      <c r="K490" s="68"/>
      <c r="L490" s="68"/>
      <c r="M490" s="68"/>
      <c r="N490" s="68"/>
      <c r="O490" s="68"/>
      <c r="P490" s="68"/>
    </row>
    <row r="491">
      <c r="K491" s="68"/>
      <c r="L491" s="68"/>
      <c r="M491" s="68"/>
      <c r="N491" s="68"/>
      <c r="O491" s="68"/>
      <c r="P491" s="68"/>
    </row>
    <row r="492">
      <c r="K492" s="68"/>
      <c r="L492" s="68"/>
      <c r="M492" s="68"/>
      <c r="N492" s="68"/>
      <c r="O492" s="68"/>
      <c r="P492" s="68"/>
    </row>
    <row r="493">
      <c r="K493" s="68"/>
      <c r="L493" s="68"/>
      <c r="M493" s="68"/>
      <c r="N493" s="68"/>
      <c r="O493" s="68"/>
      <c r="P493" s="68"/>
    </row>
    <row r="494">
      <c r="K494" s="68"/>
      <c r="L494" s="68"/>
      <c r="M494" s="68"/>
      <c r="N494" s="68"/>
      <c r="O494" s="68"/>
      <c r="P494" s="68"/>
    </row>
    <row r="495">
      <c r="K495" s="68"/>
      <c r="L495" s="68"/>
      <c r="M495" s="68"/>
      <c r="N495" s="68"/>
      <c r="O495" s="68"/>
      <c r="P495" s="68"/>
    </row>
    <row r="496">
      <c r="K496" s="68"/>
      <c r="L496" s="68"/>
      <c r="M496" s="68"/>
      <c r="N496" s="68"/>
      <c r="O496" s="68"/>
      <c r="P496" s="68"/>
    </row>
    <row r="497">
      <c r="K497" s="68"/>
      <c r="L497" s="68"/>
      <c r="M497" s="68"/>
      <c r="N497" s="68"/>
      <c r="O497" s="68"/>
      <c r="P497" s="68"/>
    </row>
    <row r="498">
      <c r="K498" s="68"/>
      <c r="L498" s="68"/>
      <c r="M498" s="68"/>
      <c r="N498" s="68"/>
      <c r="O498" s="68"/>
      <c r="P498" s="68"/>
    </row>
    <row r="499">
      <c r="K499" s="68"/>
      <c r="L499" s="68"/>
      <c r="M499" s="68"/>
      <c r="N499" s="68"/>
      <c r="O499" s="68"/>
      <c r="P499" s="68"/>
    </row>
    <row r="500">
      <c r="K500" s="68"/>
      <c r="L500" s="68"/>
      <c r="M500" s="68"/>
      <c r="N500" s="68"/>
      <c r="O500" s="68"/>
      <c r="P500" s="68"/>
    </row>
    <row r="501">
      <c r="K501" s="68"/>
      <c r="L501" s="68"/>
      <c r="M501" s="68"/>
      <c r="N501" s="68"/>
      <c r="O501" s="68"/>
      <c r="P501" s="68"/>
    </row>
    <row r="502">
      <c r="K502" s="68"/>
      <c r="L502" s="68"/>
      <c r="M502" s="68"/>
      <c r="N502" s="68"/>
      <c r="O502" s="68"/>
      <c r="P502" s="68"/>
    </row>
    <row r="503">
      <c r="K503" s="68"/>
      <c r="L503" s="68"/>
      <c r="M503" s="68"/>
      <c r="N503" s="68"/>
      <c r="O503" s="68"/>
      <c r="P503" s="68"/>
    </row>
    <row r="504">
      <c r="K504" s="68"/>
      <c r="L504" s="68"/>
      <c r="M504" s="68"/>
      <c r="N504" s="68"/>
      <c r="O504" s="68"/>
      <c r="P504" s="68"/>
    </row>
    <row r="505">
      <c r="K505" s="68"/>
      <c r="L505" s="68"/>
      <c r="M505" s="68"/>
      <c r="N505" s="68"/>
      <c r="O505" s="68"/>
      <c r="P505" s="68"/>
    </row>
    <row r="506">
      <c r="K506" s="68"/>
      <c r="L506" s="68"/>
      <c r="M506" s="68"/>
      <c r="N506" s="68"/>
      <c r="O506" s="68"/>
      <c r="P506" s="68"/>
    </row>
    <row r="507">
      <c r="K507" s="68"/>
      <c r="L507" s="68"/>
      <c r="M507" s="68"/>
      <c r="N507" s="68"/>
      <c r="O507" s="68"/>
      <c r="P507" s="68"/>
    </row>
    <row r="508">
      <c r="K508" s="68"/>
      <c r="L508" s="68"/>
      <c r="M508" s="68"/>
      <c r="N508" s="68"/>
      <c r="O508" s="68"/>
      <c r="P508" s="68"/>
    </row>
    <row r="509">
      <c r="K509" s="68"/>
      <c r="L509" s="68"/>
      <c r="M509" s="68"/>
      <c r="N509" s="68"/>
      <c r="O509" s="68"/>
      <c r="P509" s="68"/>
    </row>
    <row r="510">
      <c r="K510" s="68"/>
      <c r="L510" s="68"/>
      <c r="M510" s="68"/>
      <c r="N510" s="68"/>
      <c r="O510" s="68"/>
      <c r="P510" s="68"/>
    </row>
    <row r="511">
      <c r="K511" s="68"/>
      <c r="L511" s="68"/>
      <c r="M511" s="68"/>
      <c r="N511" s="68"/>
      <c r="O511" s="68"/>
      <c r="P511" s="68"/>
    </row>
    <row r="512">
      <c r="K512" s="68"/>
      <c r="L512" s="68"/>
      <c r="M512" s="68"/>
      <c r="N512" s="68"/>
      <c r="O512" s="68"/>
      <c r="P512" s="68"/>
    </row>
    <row r="513">
      <c r="K513" s="68"/>
      <c r="L513" s="68"/>
      <c r="M513" s="68"/>
      <c r="N513" s="68"/>
      <c r="O513" s="68"/>
      <c r="P513" s="68"/>
    </row>
    <row r="514">
      <c r="K514" s="68"/>
      <c r="L514" s="68"/>
      <c r="M514" s="68"/>
      <c r="N514" s="68"/>
      <c r="O514" s="68"/>
      <c r="P514" s="68"/>
    </row>
    <row r="515">
      <c r="K515" s="68"/>
      <c r="L515" s="68"/>
      <c r="M515" s="68"/>
      <c r="N515" s="68"/>
      <c r="O515" s="68"/>
      <c r="P515" s="68"/>
    </row>
    <row r="516">
      <c r="K516" s="68"/>
      <c r="L516" s="68"/>
      <c r="M516" s="68"/>
      <c r="N516" s="68"/>
      <c r="O516" s="68"/>
      <c r="P516" s="68"/>
    </row>
    <row r="517">
      <c r="K517" s="68"/>
      <c r="L517" s="68"/>
      <c r="M517" s="68"/>
      <c r="N517" s="68"/>
      <c r="O517" s="68"/>
      <c r="P517" s="68"/>
    </row>
    <row r="518">
      <c r="K518" s="68"/>
      <c r="L518" s="68"/>
      <c r="M518" s="68"/>
      <c r="N518" s="68"/>
      <c r="O518" s="68"/>
      <c r="P518" s="68"/>
    </row>
    <row r="519">
      <c r="K519" s="68"/>
      <c r="L519" s="68"/>
      <c r="M519" s="68"/>
      <c r="N519" s="68"/>
      <c r="O519" s="68"/>
      <c r="P519" s="68"/>
    </row>
    <row r="520">
      <c r="K520" s="68"/>
      <c r="L520" s="68"/>
      <c r="M520" s="68"/>
      <c r="N520" s="68"/>
      <c r="O520" s="68"/>
      <c r="P520" s="68"/>
    </row>
    <row r="521">
      <c r="K521" s="68"/>
      <c r="L521" s="68"/>
      <c r="M521" s="68"/>
      <c r="N521" s="68"/>
      <c r="O521" s="68"/>
      <c r="P521" s="68"/>
    </row>
    <row r="522">
      <c r="K522" s="68"/>
      <c r="L522" s="68"/>
      <c r="M522" s="68"/>
      <c r="N522" s="68"/>
      <c r="O522" s="68"/>
      <c r="P522" s="68"/>
    </row>
    <row r="523">
      <c r="K523" s="68"/>
      <c r="L523" s="68"/>
      <c r="M523" s="68"/>
      <c r="N523" s="68"/>
      <c r="O523" s="68"/>
      <c r="P523" s="68"/>
    </row>
    <row r="524">
      <c r="K524" s="68"/>
      <c r="L524" s="68"/>
      <c r="M524" s="68"/>
      <c r="N524" s="68"/>
      <c r="O524" s="68"/>
      <c r="P524" s="68"/>
    </row>
    <row r="525">
      <c r="K525" s="68"/>
      <c r="L525" s="68"/>
      <c r="M525" s="68"/>
      <c r="N525" s="68"/>
      <c r="O525" s="68"/>
      <c r="P525" s="68"/>
    </row>
    <row r="526">
      <c r="K526" s="68"/>
      <c r="L526" s="68"/>
      <c r="M526" s="68"/>
      <c r="N526" s="68"/>
      <c r="O526" s="68"/>
      <c r="P526" s="68"/>
    </row>
    <row r="527">
      <c r="K527" s="68"/>
      <c r="L527" s="68"/>
      <c r="M527" s="68"/>
      <c r="N527" s="68"/>
      <c r="O527" s="68"/>
      <c r="P527" s="68"/>
    </row>
    <row r="528">
      <c r="K528" s="68"/>
      <c r="L528" s="68"/>
      <c r="M528" s="68"/>
      <c r="N528" s="68"/>
      <c r="O528" s="68"/>
      <c r="P528" s="68"/>
    </row>
    <row r="529">
      <c r="K529" s="68"/>
      <c r="L529" s="68"/>
      <c r="M529" s="68"/>
      <c r="N529" s="68"/>
      <c r="O529" s="68"/>
      <c r="P529" s="68"/>
    </row>
    <row r="530">
      <c r="K530" s="68"/>
      <c r="L530" s="68"/>
      <c r="M530" s="68"/>
      <c r="N530" s="68"/>
      <c r="O530" s="68"/>
      <c r="P530" s="68"/>
    </row>
    <row r="531">
      <c r="K531" s="68"/>
      <c r="L531" s="68"/>
      <c r="M531" s="68"/>
      <c r="N531" s="68"/>
      <c r="O531" s="68"/>
      <c r="P531" s="68"/>
    </row>
    <row r="532">
      <c r="K532" s="68"/>
      <c r="L532" s="68"/>
      <c r="M532" s="68"/>
      <c r="N532" s="68"/>
      <c r="O532" s="68"/>
      <c r="P532" s="68"/>
    </row>
    <row r="533">
      <c r="K533" s="68"/>
      <c r="L533" s="68"/>
      <c r="M533" s="68"/>
      <c r="N533" s="68"/>
      <c r="O533" s="68"/>
      <c r="P533" s="68"/>
    </row>
    <row r="534">
      <c r="K534" s="68"/>
      <c r="L534" s="68"/>
      <c r="M534" s="68"/>
      <c r="N534" s="68"/>
      <c r="O534" s="68"/>
      <c r="P534" s="68"/>
    </row>
    <row r="535">
      <c r="K535" s="68"/>
      <c r="L535" s="68"/>
      <c r="M535" s="68"/>
      <c r="N535" s="68"/>
      <c r="O535" s="68"/>
      <c r="P535" s="68"/>
    </row>
    <row r="536">
      <c r="K536" s="68"/>
      <c r="L536" s="68"/>
      <c r="M536" s="68"/>
      <c r="N536" s="68"/>
      <c r="O536" s="68"/>
      <c r="P536" s="68"/>
    </row>
    <row r="537">
      <c r="K537" s="68"/>
      <c r="L537" s="68"/>
      <c r="M537" s="68"/>
      <c r="N537" s="68"/>
      <c r="O537" s="68"/>
      <c r="P537" s="68"/>
    </row>
    <row r="538">
      <c r="K538" s="68"/>
      <c r="L538" s="68"/>
      <c r="M538" s="68"/>
      <c r="N538" s="68"/>
      <c r="O538" s="68"/>
      <c r="P538" s="68"/>
    </row>
    <row r="539">
      <c r="K539" s="68"/>
      <c r="L539" s="68"/>
      <c r="M539" s="68"/>
      <c r="N539" s="68"/>
      <c r="O539" s="68"/>
      <c r="P539" s="68"/>
    </row>
    <row r="540">
      <c r="K540" s="68"/>
      <c r="L540" s="68"/>
      <c r="M540" s="68"/>
      <c r="N540" s="68"/>
      <c r="O540" s="68"/>
      <c r="P540" s="68"/>
    </row>
    <row r="541">
      <c r="K541" s="68"/>
      <c r="L541" s="68"/>
      <c r="M541" s="68"/>
      <c r="N541" s="68"/>
      <c r="O541" s="68"/>
      <c r="P541" s="68"/>
    </row>
    <row r="542">
      <c r="K542" s="68"/>
      <c r="L542" s="68"/>
      <c r="M542" s="68"/>
      <c r="N542" s="68"/>
      <c r="O542" s="68"/>
      <c r="P542" s="68"/>
    </row>
    <row r="543">
      <c r="K543" s="68"/>
      <c r="L543" s="68"/>
      <c r="M543" s="68"/>
      <c r="N543" s="68"/>
      <c r="O543" s="68"/>
      <c r="P543" s="68"/>
    </row>
    <row r="544">
      <c r="K544" s="68"/>
      <c r="L544" s="68"/>
      <c r="M544" s="68"/>
      <c r="N544" s="68"/>
      <c r="O544" s="68"/>
      <c r="P544" s="68"/>
    </row>
    <row r="545">
      <c r="K545" s="68"/>
      <c r="L545" s="68"/>
      <c r="M545" s="68"/>
      <c r="N545" s="68"/>
      <c r="O545" s="68"/>
      <c r="P545" s="68"/>
    </row>
    <row r="546">
      <c r="K546" s="68"/>
      <c r="L546" s="68"/>
      <c r="M546" s="68"/>
      <c r="N546" s="68"/>
      <c r="O546" s="68"/>
      <c r="P546" s="68"/>
    </row>
    <row r="547">
      <c r="K547" s="68"/>
      <c r="L547" s="68"/>
      <c r="M547" s="68"/>
      <c r="N547" s="68"/>
      <c r="O547" s="68"/>
      <c r="P547" s="68"/>
    </row>
    <row r="548">
      <c r="K548" s="68"/>
      <c r="L548" s="68"/>
      <c r="M548" s="68"/>
      <c r="N548" s="68"/>
      <c r="O548" s="68"/>
      <c r="P548" s="68"/>
    </row>
    <row r="549">
      <c r="K549" s="68"/>
      <c r="L549" s="68"/>
      <c r="M549" s="68"/>
      <c r="N549" s="68"/>
      <c r="O549" s="68"/>
      <c r="P549" s="68"/>
    </row>
    <row r="550">
      <c r="K550" s="68"/>
      <c r="L550" s="68"/>
      <c r="M550" s="68"/>
      <c r="N550" s="68"/>
      <c r="O550" s="68"/>
      <c r="P550" s="68"/>
    </row>
    <row r="551">
      <c r="K551" s="68"/>
      <c r="L551" s="68"/>
      <c r="M551" s="68"/>
      <c r="N551" s="68"/>
      <c r="O551" s="68"/>
      <c r="P551" s="68"/>
    </row>
    <row r="552">
      <c r="K552" s="68"/>
      <c r="L552" s="68"/>
      <c r="M552" s="68"/>
      <c r="N552" s="68"/>
      <c r="O552" s="68"/>
      <c r="P552" s="68"/>
    </row>
    <row r="553">
      <c r="K553" s="68"/>
      <c r="L553" s="68"/>
      <c r="M553" s="68"/>
      <c r="N553" s="68"/>
      <c r="O553" s="68"/>
      <c r="P553" s="68"/>
    </row>
    <row r="554">
      <c r="K554" s="68"/>
      <c r="L554" s="68"/>
      <c r="M554" s="68"/>
      <c r="N554" s="68"/>
      <c r="O554" s="68"/>
      <c r="P554" s="68"/>
    </row>
    <row r="555">
      <c r="K555" s="68"/>
      <c r="L555" s="68"/>
      <c r="M555" s="68"/>
      <c r="N555" s="68"/>
      <c r="O555" s="68"/>
      <c r="P555" s="68"/>
    </row>
    <row r="556">
      <c r="K556" s="68"/>
      <c r="L556" s="68"/>
      <c r="M556" s="68"/>
      <c r="N556" s="68"/>
      <c r="O556" s="68"/>
      <c r="P556" s="68"/>
    </row>
    <row r="557">
      <c r="K557" s="68"/>
      <c r="L557" s="68"/>
      <c r="M557" s="68"/>
      <c r="N557" s="68"/>
      <c r="O557" s="68"/>
      <c r="P557" s="68"/>
    </row>
    <row r="558">
      <c r="K558" s="68"/>
      <c r="L558" s="68"/>
      <c r="M558" s="68"/>
      <c r="N558" s="68"/>
      <c r="O558" s="68"/>
      <c r="P558" s="68"/>
    </row>
    <row r="559">
      <c r="K559" s="68"/>
      <c r="L559" s="68"/>
      <c r="M559" s="68"/>
      <c r="N559" s="68"/>
      <c r="O559" s="68"/>
      <c r="P559" s="68"/>
    </row>
    <row r="560">
      <c r="K560" s="68"/>
      <c r="L560" s="68"/>
      <c r="M560" s="68"/>
      <c r="N560" s="68"/>
      <c r="O560" s="68"/>
      <c r="P560" s="68"/>
    </row>
    <row r="561">
      <c r="K561" s="68"/>
      <c r="L561" s="68"/>
      <c r="M561" s="68"/>
      <c r="N561" s="68"/>
      <c r="O561" s="68"/>
      <c r="P561" s="68"/>
    </row>
    <row r="562">
      <c r="K562" s="68"/>
      <c r="L562" s="68"/>
      <c r="M562" s="68"/>
      <c r="N562" s="68"/>
      <c r="O562" s="68"/>
      <c r="P562" s="68"/>
    </row>
    <row r="563">
      <c r="K563" s="68"/>
      <c r="L563" s="68"/>
      <c r="M563" s="68"/>
      <c r="N563" s="68"/>
      <c r="O563" s="68"/>
      <c r="P563" s="68"/>
    </row>
    <row r="564">
      <c r="K564" s="68"/>
      <c r="L564" s="68"/>
      <c r="M564" s="68"/>
      <c r="N564" s="68"/>
      <c r="O564" s="68"/>
      <c r="P564" s="68"/>
    </row>
    <row r="565">
      <c r="K565" s="68"/>
      <c r="L565" s="68"/>
      <c r="M565" s="68"/>
      <c r="N565" s="68"/>
      <c r="O565" s="68"/>
      <c r="P565" s="68"/>
    </row>
    <row r="566">
      <c r="K566" s="68"/>
      <c r="L566" s="68"/>
      <c r="M566" s="68"/>
      <c r="N566" s="68"/>
      <c r="O566" s="68"/>
      <c r="P566" s="68"/>
    </row>
    <row r="567">
      <c r="K567" s="68"/>
      <c r="L567" s="68"/>
      <c r="M567" s="68"/>
      <c r="N567" s="68"/>
      <c r="O567" s="68"/>
      <c r="P567" s="68"/>
    </row>
    <row r="568">
      <c r="K568" s="68"/>
      <c r="L568" s="68"/>
      <c r="M568" s="68"/>
      <c r="N568" s="68"/>
      <c r="O568" s="68"/>
      <c r="P568" s="68"/>
    </row>
    <row r="569">
      <c r="K569" s="68"/>
      <c r="L569" s="68"/>
      <c r="M569" s="68"/>
      <c r="N569" s="68"/>
      <c r="O569" s="68"/>
      <c r="P569" s="68"/>
    </row>
    <row r="570">
      <c r="K570" s="68"/>
      <c r="L570" s="68"/>
      <c r="M570" s="68"/>
      <c r="N570" s="68"/>
      <c r="O570" s="68"/>
      <c r="P570" s="68"/>
    </row>
    <row r="571">
      <c r="K571" s="68"/>
      <c r="L571" s="68"/>
      <c r="M571" s="68"/>
      <c r="N571" s="68"/>
      <c r="O571" s="68"/>
      <c r="P571" s="68"/>
    </row>
    <row r="572">
      <c r="K572" s="68"/>
      <c r="L572" s="68"/>
      <c r="M572" s="68"/>
      <c r="N572" s="68"/>
      <c r="O572" s="68"/>
      <c r="P572" s="68"/>
    </row>
    <row r="573">
      <c r="K573" s="68"/>
      <c r="L573" s="68"/>
      <c r="M573" s="68"/>
      <c r="N573" s="68"/>
      <c r="O573" s="68"/>
      <c r="P573" s="68"/>
    </row>
    <row r="574">
      <c r="K574" s="68"/>
      <c r="L574" s="68"/>
      <c r="M574" s="68"/>
      <c r="N574" s="68"/>
      <c r="O574" s="68"/>
      <c r="P574" s="68"/>
    </row>
    <row r="575">
      <c r="K575" s="68"/>
      <c r="L575" s="68"/>
      <c r="M575" s="68"/>
      <c r="N575" s="68"/>
      <c r="O575" s="68"/>
      <c r="P575" s="68"/>
    </row>
    <row r="576">
      <c r="K576" s="68"/>
      <c r="L576" s="68"/>
      <c r="M576" s="68"/>
      <c r="N576" s="68"/>
      <c r="O576" s="68"/>
      <c r="P576" s="68"/>
    </row>
    <row r="577">
      <c r="K577" s="68"/>
      <c r="L577" s="68"/>
      <c r="M577" s="68"/>
      <c r="N577" s="68"/>
      <c r="O577" s="68"/>
      <c r="P577" s="68"/>
    </row>
    <row r="578">
      <c r="K578" s="68"/>
      <c r="L578" s="68"/>
      <c r="M578" s="68"/>
      <c r="N578" s="68"/>
      <c r="O578" s="68"/>
      <c r="P578" s="68"/>
    </row>
    <row r="579">
      <c r="K579" s="68"/>
      <c r="L579" s="68"/>
      <c r="M579" s="68"/>
      <c r="N579" s="68"/>
      <c r="O579" s="68"/>
      <c r="P579" s="68"/>
    </row>
    <row r="580">
      <c r="K580" s="68"/>
      <c r="L580" s="68"/>
      <c r="M580" s="68"/>
      <c r="N580" s="68"/>
      <c r="O580" s="68"/>
      <c r="P580" s="68"/>
    </row>
    <row r="581">
      <c r="K581" s="68"/>
      <c r="L581" s="68"/>
      <c r="M581" s="68"/>
      <c r="N581" s="68"/>
      <c r="O581" s="68"/>
      <c r="P581" s="68"/>
    </row>
    <row r="582">
      <c r="K582" s="68"/>
      <c r="L582" s="68"/>
      <c r="M582" s="68"/>
      <c r="N582" s="68"/>
      <c r="O582" s="68"/>
      <c r="P582" s="68"/>
    </row>
    <row r="583">
      <c r="K583" s="68"/>
      <c r="L583" s="68"/>
      <c r="M583" s="68"/>
      <c r="N583" s="68"/>
      <c r="O583" s="68"/>
      <c r="P583" s="68"/>
    </row>
    <row r="584">
      <c r="K584" s="68"/>
      <c r="L584" s="68"/>
      <c r="M584" s="68"/>
      <c r="N584" s="68"/>
      <c r="O584" s="68"/>
      <c r="P584" s="68"/>
    </row>
    <row r="585">
      <c r="K585" s="68"/>
      <c r="L585" s="68"/>
      <c r="M585" s="68"/>
      <c r="N585" s="68"/>
      <c r="O585" s="68"/>
      <c r="P585" s="68"/>
    </row>
    <row r="586">
      <c r="K586" s="68"/>
      <c r="L586" s="68"/>
      <c r="M586" s="68"/>
      <c r="N586" s="68"/>
      <c r="O586" s="68"/>
      <c r="P586" s="68"/>
    </row>
    <row r="587">
      <c r="K587" s="68"/>
      <c r="L587" s="68"/>
      <c r="M587" s="68"/>
      <c r="N587" s="68"/>
      <c r="O587" s="68"/>
      <c r="P587" s="68"/>
    </row>
    <row r="588">
      <c r="K588" s="68"/>
      <c r="L588" s="68"/>
      <c r="M588" s="68"/>
      <c r="N588" s="68"/>
      <c r="O588" s="68"/>
      <c r="P588" s="68"/>
    </row>
    <row r="589">
      <c r="K589" s="68"/>
      <c r="L589" s="68"/>
      <c r="M589" s="68"/>
      <c r="N589" s="68"/>
      <c r="O589" s="68"/>
      <c r="P589" s="68"/>
    </row>
    <row r="590">
      <c r="K590" s="68"/>
      <c r="L590" s="68"/>
      <c r="M590" s="68"/>
      <c r="N590" s="68"/>
      <c r="O590" s="68"/>
      <c r="P590" s="68"/>
    </row>
    <row r="591">
      <c r="K591" s="68"/>
      <c r="L591" s="68"/>
      <c r="M591" s="68"/>
      <c r="N591" s="68"/>
      <c r="O591" s="68"/>
      <c r="P591" s="68"/>
    </row>
    <row r="592">
      <c r="K592" s="68"/>
      <c r="L592" s="68"/>
      <c r="M592" s="68"/>
      <c r="N592" s="68"/>
      <c r="O592" s="68"/>
      <c r="P592" s="68"/>
    </row>
    <row r="593">
      <c r="K593" s="68"/>
      <c r="L593" s="68"/>
      <c r="M593" s="68"/>
      <c r="N593" s="68"/>
      <c r="O593" s="68"/>
      <c r="P593" s="68"/>
    </row>
    <row r="594">
      <c r="K594" s="68"/>
      <c r="L594" s="68"/>
      <c r="M594" s="68"/>
      <c r="N594" s="68"/>
      <c r="O594" s="68"/>
      <c r="P594" s="68"/>
    </row>
    <row r="595">
      <c r="K595" s="68"/>
      <c r="L595" s="68"/>
      <c r="M595" s="68"/>
      <c r="N595" s="68"/>
      <c r="O595" s="68"/>
      <c r="P595" s="68"/>
    </row>
    <row r="596">
      <c r="K596" s="68"/>
      <c r="L596" s="68"/>
      <c r="M596" s="68"/>
      <c r="N596" s="68"/>
      <c r="O596" s="68"/>
      <c r="P596" s="68"/>
    </row>
    <row r="597">
      <c r="K597" s="68"/>
      <c r="L597" s="68"/>
      <c r="M597" s="68"/>
      <c r="N597" s="68"/>
      <c r="O597" s="68"/>
      <c r="P597" s="68"/>
    </row>
    <row r="598">
      <c r="K598" s="68"/>
      <c r="L598" s="68"/>
      <c r="M598" s="68"/>
      <c r="N598" s="68"/>
      <c r="O598" s="68"/>
      <c r="P598" s="68"/>
    </row>
    <row r="599">
      <c r="K599" s="68"/>
      <c r="L599" s="68"/>
      <c r="M599" s="68"/>
      <c r="N599" s="68"/>
      <c r="O599" s="68"/>
      <c r="P599" s="68"/>
    </row>
    <row r="600">
      <c r="K600" s="68"/>
      <c r="L600" s="68"/>
      <c r="M600" s="68"/>
      <c r="N600" s="68"/>
      <c r="O600" s="68"/>
      <c r="P600" s="68"/>
    </row>
    <row r="601">
      <c r="K601" s="68"/>
      <c r="L601" s="68"/>
      <c r="M601" s="68"/>
      <c r="N601" s="68"/>
      <c r="O601" s="68"/>
      <c r="P601" s="68"/>
    </row>
    <row r="602">
      <c r="K602" s="68"/>
      <c r="L602" s="68"/>
      <c r="M602" s="68"/>
      <c r="N602" s="68"/>
      <c r="O602" s="68"/>
      <c r="P602" s="68"/>
    </row>
    <row r="603">
      <c r="K603" s="68"/>
      <c r="L603" s="68"/>
      <c r="M603" s="68"/>
      <c r="N603" s="68"/>
      <c r="O603" s="68"/>
      <c r="P603" s="68"/>
    </row>
    <row r="604">
      <c r="K604" s="68"/>
      <c r="L604" s="68"/>
      <c r="M604" s="68"/>
      <c r="N604" s="68"/>
      <c r="O604" s="68"/>
      <c r="P604" s="68"/>
    </row>
    <row r="605">
      <c r="K605" s="68"/>
      <c r="L605" s="68"/>
      <c r="M605" s="68"/>
      <c r="N605" s="68"/>
      <c r="O605" s="68"/>
      <c r="P605" s="68"/>
    </row>
    <row r="606">
      <c r="K606" s="68"/>
      <c r="L606" s="68"/>
      <c r="M606" s="68"/>
      <c r="N606" s="68"/>
      <c r="O606" s="68"/>
      <c r="P606" s="68"/>
    </row>
    <row r="607">
      <c r="K607" s="68"/>
      <c r="L607" s="68"/>
      <c r="M607" s="68"/>
      <c r="N607" s="68"/>
      <c r="O607" s="68"/>
      <c r="P607" s="68"/>
    </row>
    <row r="608">
      <c r="K608" s="68"/>
      <c r="L608" s="68"/>
      <c r="M608" s="68"/>
      <c r="N608" s="68"/>
      <c r="O608" s="68"/>
      <c r="P608" s="68"/>
    </row>
    <row r="609">
      <c r="K609" s="68"/>
      <c r="L609" s="68"/>
      <c r="M609" s="68"/>
      <c r="N609" s="68"/>
      <c r="O609" s="68"/>
      <c r="P609" s="68"/>
    </row>
    <row r="610">
      <c r="K610" s="68"/>
      <c r="L610" s="68"/>
      <c r="M610" s="68"/>
      <c r="N610" s="68"/>
      <c r="O610" s="68"/>
      <c r="P610" s="68"/>
    </row>
    <row r="611">
      <c r="K611" s="68"/>
      <c r="L611" s="68"/>
      <c r="M611" s="68"/>
      <c r="N611" s="68"/>
      <c r="O611" s="68"/>
      <c r="P611" s="68"/>
    </row>
    <row r="612">
      <c r="K612" s="68"/>
      <c r="L612" s="68"/>
      <c r="M612" s="68"/>
      <c r="N612" s="68"/>
      <c r="O612" s="68"/>
      <c r="P612" s="68"/>
    </row>
    <row r="613">
      <c r="K613" s="68"/>
      <c r="L613" s="68"/>
      <c r="M613" s="68"/>
      <c r="N613" s="68"/>
      <c r="O613" s="68"/>
      <c r="P613" s="68"/>
    </row>
    <row r="614">
      <c r="K614" s="68"/>
      <c r="L614" s="68"/>
      <c r="M614" s="68"/>
      <c r="N614" s="68"/>
      <c r="O614" s="68"/>
      <c r="P614" s="68"/>
    </row>
    <row r="615">
      <c r="K615" s="68"/>
      <c r="L615" s="68"/>
      <c r="M615" s="68"/>
      <c r="N615" s="68"/>
      <c r="O615" s="68"/>
      <c r="P615" s="68"/>
    </row>
    <row r="616">
      <c r="K616" s="68"/>
      <c r="L616" s="68"/>
      <c r="M616" s="68"/>
      <c r="N616" s="68"/>
      <c r="O616" s="68"/>
      <c r="P616" s="68"/>
    </row>
    <row r="617">
      <c r="K617" s="68"/>
      <c r="L617" s="68"/>
      <c r="M617" s="68"/>
      <c r="N617" s="68"/>
      <c r="O617" s="68"/>
      <c r="P617" s="68"/>
    </row>
    <row r="618">
      <c r="K618" s="68"/>
      <c r="L618" s="68"/>
      <c r="M618" s="68"/>
      <c r="N618" s="68"/>
      <c r="O618" s="68"/>
      <c r="P618" s="68"/>
    </row>
    <row r="619">
      <c r="K619" s="68"/>
      <c r="L619" s="68"/>
      <c r="M619" s="68"/>
      <c r="N619" s="68"/>
      <c r="O619" s="68"/>
      <c r="P619" s="68"/>
    </row>
    <row r="620">
      <c r="K620" s="68"/>
      <c r="L620" s="68"/>
      <c r="M620" s="68"/>
      <c r="N620" s="68"/>
      <c r="O620" s="68"/>
      <c r="P620" s="68"/>
    </row>
    <row r="621">
      <c r="K621" s="68"/>
      <c r="L621" s="68"/>
      <c r="M621" s="68"/>
      <c r="N621" s="68"/>
      <c r="O621" s="68"/>
      <c r="P621" s="68"/>
    </row>
    <row r="622">
      <c r="K622" s="68"/>
      <c r="L622" s="68"/>
      <c r="M622" s="68"/>
      <c r="N622" s="68"/>
      <c r="O622" s="68"/>
      <c r="P622" s="68"/>
    </row>
    <row r="623">
      <c r="K623" s="68"/>
      <c r="L623" s="68"/>
      <c r="M623" s="68"/>
      <c r="N623" s="68"/>
      <c r="O623" s="68"/>
      <c r="P623" s="68"/>
    </row>
    <row r="624">
      <c r="K624" s="68"/>
      <c r="L624" s="68"/>
      <c r="M624" s="68"/>
      <c r="N624" s="68"/>
      <c r="O624" s="68"/>
      <c r="P624" s="68"/>
    </row>
    <row r="625">
      <c r="K625" s="68"/>
      <c r="L625" s="68"/>
      <c r="M625" s="68"/>
      <c r="N625" s="68"/>
      <c r="O625" s="68"/>
      <c r="P625" s="68"/>
    </row>
    <row r="626">
      <c r="K626" s="68"/>
      <c r="L626" s="68"/>
      <c r="M626" s="68"/>
      <c r="N626" s="68"/>
      <c r="O626" s="68"/>
      <c r="P626" s="68"/>
    </row>
    <row r="627">
      <c r="K627" s="68"/>
      <c r="L627" s="68"/>
      <c r="M627" s="68"/>
      <c r="N627" s="68"/>
      <c r="O627" s="68"/>
      <c r="P627" s="68"/>
    </row>
    <row r="628">
      <c r="K628" s="68"/>
      <c r="L628" s="68"/>
      <c r="M628" s="68"/>
      <c r="N628" s="68"/>
      <c r="O628" s="68"/>
      <c r="P628" s="68"/>
    </row>
    <row r="629">
      <c r="K629" s="68"/>
      <c r="L629" s="68"/>
      <c r="M629" s="68"/>
      <c r="N629" s="68"/>
      <c r="O629" s="68"/>
      <c r="P629" s="68"/>
    </row>
    <row r="630">
      <c r="K630" s="68"/>
      <c r="L630" s="68"/>
      <c r="M630" s="68"/>
      <c r="N630" s="68"/>
      <c r="O630" s="68"/>
      <c r="P630" s="68"/>
    </row>
    <row r="631">
      <c r="K631" s="68"/>
      <c r="L631" s="68"/>
      <c r="M631" s="68"/>
      <c r="N631" s="68"/>
      <c r="O631" s="68"/>
      <c r="P631" s="68"/>
    </row>
    <row r="632">
      <c r="K632" s="68"/>
      <c r="L632" s="68"/>
      <c r="M632" s="68"/>
      <c r="N632" s="68"/>
      <c r="O632" s="68"/>
      <c r="P632" s="68"/>
    </row>
    <row r="633">
      <c r="K633" s="68"/>
      <c r="L633" s="68"/>
      <c r="M633" s="68"/>
      <c r="N633" s="68"/>
      <c r="O633" s="68"/>
      <c r="P633" s="68"/>
    </row>
    <row r="634">
      <c r="K634" s="68"/>
      <c r="L634" s="68"/>
      <c r="M634" s="68"/>
      <c r="N634" s="68"/>
      <c r="O634" s="68"/>
      <c r="P634" s="68"/>
    </row>
    <row r="635">
      <c r="K635" s="68"/>
      <c r="L635" s="68"/>
      <c r="M635" s="68"/>
      <c r="N635" s="68"/>
      <c r="O635" s="68"/>
      <c r="P635" s="68"/>
    </row>
    <row r="636">
      <c r="K636" s="68"/>
      <c r="L636" s="68"/>
      <c r="M636" s="68"/>
      <c r="N636" s="68"/>
      <c r="O636" s="68"/>
      <c r="P636" s="68"/>
    </row>
    <row r="637">
      <c r="K637" s="68"/>
      <c r="L637" s="68"/>
      <c r="M637" s="68"/>
      <c r="N637" s="68"/>
      <c r="O637" s="68"/>
      <c r="P637" s="68"/>
    </row>
    <row r="638">
      <c r="K638" s="68"/>
      <c r="L638" s="68"/>
      <c r="M638" s="68"/>
      <c r="N638" s="68"/>
      <c r="O638" s="68"/>
      <c r="P638" s="68"/>
    </row>
    <row r="639">
      <c r="K639" s="68"/>
      <c r="L639" s="68"/>
      <c r="M639" s="68"/>
      <c r="N639" s="68"/>
      <c r="O639" s="68"/>
      <c r="P639" s="68"/>
    </row>
    <row r="640">
      <c r="K640" s="68"/>
      <c r="L640" s="68"/>
      <c r="M640" s="68"/>
      <c r="N640" s="68"/>
      <c r="O640" s="68"/>
      <c r="P640" s="68"/>
    </row>
    <row r="641">
      <c r="K641" s="68"/>
      <c r="L641" s="68"/>
      <c r="M641" s="68"/>
      <c r="N641" s="68"/>
      <c r="O641" s="68"/>
      <c r="P641" s="68"/>
    </row>
    <row r="642">
      <c r="K642" s="68"/>
      <c r="L642" s="68"/>
      <c r="M642" s="68"/>
      <c r="N642" s="68"/>
      <c r="O642" s="68"/>
      <c r="P642" s="68"/>
    </row>
    <row r="643">
      <c r="K643" s="68"/>
      <c r="L643" s="68"/>
      <c r="M643" s="68"/>
      <c r="N643" s="68"/>
      <c r="O643" s="68"/>
      <c r="P643" s="68"/>
    </row>
    <row r="644">
      <c r="K644" s="68"/>
      <c r="L644" s="68"/>
      <c r="M644" s="68"/>
      <c r="N644" s="68"/>
      <c r="O644" s="68"/>
      <c r="P644" s="68"/>
    </row>
    <row r="645">
      <c r="K645" s="68"/>
      <c r="L645" s="68"/>
      <c r="M645" s="68"/>
      <c r="N645" s="68"/>
      <c r="O645" s="68"/>
      <c r="P645" s="68"/>
    </row>
    <row r="646">
      <c r="K646" s="68"/>
      <c r="L646" s="68"/>
      <c r="M646" s="68"/>
      <c r="N646" s="68"/>
      <c r="O646" s="68"/>
      <c r="P646" s="68"/>
    </row>
    <row r="647">
      <c r="K647" s="68"/>
      <c r="L647" s="68"/>
      <c r="M647" s="68"/>
      <c r="N647" s="68"/>
      <c r="O647" s="68"/>
      <c r="P647" s="68"/>
    </row>
    <row r="648">
      <c r="K648" s="68"/>
      <c r="L648" s="68"/>
      <c r="M648" s="68"/>
      <c r="N648" s="68"/>
      <c r="O648" s="68"/>
      <c r="P648" s="68"/>
    </row>
    <row r="649">
      <c r="K649" s="68"/>
      <c r="L649" s="68"/>
      <c r="M649" s="68"/>
      <c r="N649" s="68"/>
      <c r="O649" s="68"/>
      <c r="P649" s="68"/>
    </row>
    <row r="650">
      <c r="K650" s="68"/>
      <c r="L650" s="68"/>
      <c r="M650" s="68"/>
      <c r="N650" s="68"/>
      <c r="O650" s="68"/>
      <c r="P650" s="68"/>
    </row>
    <row r="651">
      <c r="K651" s="68"/>
      <c r="L651" s="68"/>
      <c r="M651" s="68"/>
      <c r="N651" s="68"/>
      <c r="O651" s="68"/>
      <c r="P651" s="68"/>
    </row>
    <row r="652">
      <c r="K652" s="68"/>
      <c r="L652" s="68"/>
      <c r="M652" s="68"/>
      <c r="N652" s="68"/>
      <c r="O652" s="68"/>
      <c r="P652" s="68"/>
    </row>
    <row r="653">
      <c r="K653" s="68"/>
      <c r="L653" s="68"/>
      <c r="M653" s="68"/>
      <c r="N653" s="68"/>
      <c r="O653" s="68"/>
      <c r="P653" s="68"/>
    </row>
    <row r="654">
      <c r="K654" s="68"/>
      <c r="L654" s="68"/>
      <c r="M654" s="68"/>
      <c r="N654" s="68"/>
      <c r="O654" s="68"/>
      <c r="P654" s="68"/>
    </row>
    <row r="655">
      <c r="K655" s="68"/>
      <c r="L655" s="68"/>
      <c r="M655" s="68"/>
      <c r="N655" s="68"/>
      <c r="O655" s="68"/>
      <c r="P655" s="68"/>
    </row>
    <row r="656">
      <c r="K656" s="68"/>
      <c r="L656" s="68"/>
      <c r="M656" s="68"/>
      <c r="N656" s="68"/>
      <c r="O656" s="68"/>
      <c r="P656" s="68"/>
    </row>
    <row r="657">
      <c r="K657" s="68"/>
      <c r="L657" s="68"/>
      <c r="M657" s="68"/>
      <c r="N657" s="68"/>
      <c r="O657" s="68"/>
      <c r="P657" s="68"/>
    </row>
    <row r="658">
      <c r="K658" s="68"/>
      <c r="L658" s="68"/>
      <c r="M658" s="68"/>
      <c r="N658" s="68"/>
      <c r="O658" s="68"/>
      <c r="P658" s="68"/>
    </row>
    <row r="659">
      <c r="K659" s="68"/>
      <c r="L659" s="68"/>
      <c r="M659" s="68"/>
      <c r="N659" s="68"/>
      <c r="O659" s="68"/>
      <c r="P659" s="68"/>
    </row>
    <row r="660">
      <c r="K660" s="68"/>
      <c r="L660" s="68"/>
      <c r="M660" s="68"/>
      <c r="N660" s="68"/>
      <c r="O660" s="68"/>
      <c r="P660" s="68"/>
    </row>
    <row r="661">
      <c r="K661" s="68"/>
      <c r="L661" s="68"/>
      <c r="M661" s="68"/>
      <c r="N661" s="68"/>
      <c r="O661" s="68"/>
      <c r="P661" s="68"/>
    </row>
    <row r="662">
      <c r="K662" s="68"/>
      <c r="L662" s="68"/>
      <c r="M662" s="68"/>
      <c r="N662" s="68"/>
      <c r="O662" s="68"/>
      <c r="P662" s="68"/>
    </row>
    <row r="663">
      <c r="K663" s="68"/>
      <c r="L663" s="68"/>
      <c r="M663" s="68"/>
      <c r="N663" s="68"/>
      <c r="O663" s="68"/>
      <c r="P663" s="68"/>
    </row>
    <row r="664">
      <c r="K664" s="68"/>
      <c r="L664" s="68"/>
      <c r="M664" s="68"/>
      <c r="N664" s="68"/>
      <c r="O664" s="68"/>
      <c r="P664" s="68"/>
    </row>
    <row r="665">
      <c r="K665" s="68"/>
      <c r="L665" s="68"/>
      <c r="M665" s="68"/>
      <c r="N665" s="68"/>
      <c r="O665" s="68"/>
      <c r="P665" s="68"/>
    </row>
    <row r="666">
      <c r="K666" s="68"/>
      <c r="L666" s="68"/>
      <c r="M666" s="68"/>
      <c r="N666" s="68"/>
      <c r="O666" s="68"/>
      <c r="P666" s="68"/>
    </row>
    <row r="667">
      <c r="K667" s="68"/>
      <c r="L667" s="68"/>
      <c r="M667" s="68"/>
      <c r="N667" s="68"/>
      <c r="O667" s="68"/>
      <c r="P667" s="68"/>
    </row>
    <row r="668">
      <c r="K668" s="68"/>
      <c r="L668" s="68"/>
      <c r="M668" s="68"/>
      <c r="N668" s="68"/>
      <c r="O668" s="68"/>
      <c r="P668" s="68"/>
    </row>
    <row r="669">
      <c r="K669" s="68"/>
      <c r="L669" s="68"/>
      <c r="M669" s="68"/>
      <c r="N669" s="68"/>
      <c r="O669" s="68"/>
      <c r="P669" s="68"/>
    </row>
    <row r="670">
      <c r="K670" s="68"/>
      <c r="L670" s="68"/>
      <c r="M670" s="68"/>
      <c r="N670" s="68"/>
      <c r="O670" s="68"/>
      <c r="P670" s="68"/>
    </row>
    <row r="671">
      <c r="K671" s="68"/>
      <c r="L671" s="68"/>
      <c r="M671" s="68"/>
      <c r="N671" s="68"/>
      <c r="O671" s="68"/>
      <c r="P671" s="68"/>
    </row>
    <row r="672">
      <c r="K672" s="68"/>
      <c r="L672" s="68"/>
      <c r="M672" s="68"/>
      <c r="N672" s="68"/>
      <c r="O672" s="68"/>
      <c r="P672" s="68"/>
    </row>
    <row r="673">
      <c r="K673" s="68"/>
      <c r="L673" s="68"/>
      <c r="M673" s="68"/>
      <c r="N673" s="68"/>
      <c r="O673" s="68"/>
      <c r="P673" s="68"/>
    </row>
    <row r="674">
      <c r="K674" s="68"/>
      <c r="L674" s="68"/>
      <c r="M674" s="68"/>
      <c r="N674" s="68"/>
      <c r="O674" s="68"/>
      <c r="P674" s="68"/>
    </row>
    <row r="675">
      <c r="K675" s="68"/>
      <c r="L675" s="68"/>
      <c r="M675" s="68"/>
      <c r="N675" s="68"/>
      <c r="O675" s="68"/>
      <c r="P675" s="68"/>
    </row>
    <row r="676">
      <c r="K676" s="68"/>
      <c r="L676" s="68"/>
      <c r="M676" s="68"/>
      <c r="N676" s="68"/>
      <c r="O676" s="68"/>
      <c r="P676" s="68"/>
    </row>
    <row r="677">
      <c r="K677" s="68"/>
      <c r="L677" s="68"/>
      <c r="M677" s="68"/>
      <c r="N677" s="68"/>
      <c r="O677" s="68"/>
      <c r="P677" s="68"/>
    </row>
    <row r="678">
      <c r="K678" s="68"/>
      <c r="L678" s="68"/>
      <c r="M678" s="68"/>
      <c r="N678" s="68"/>
      <c r="O678" s="68"/>
      <c r="P678" s="68"/>
    </row>
    <row r="679">
      <c r="K679" s="68"/>
      <c r="L679" s="68"/>
      <c r="M679" s="68"/>
      <c r="N679" s="68"/>
      <c r="O679" s="68"/>
      <c r="P679" s="68"/>
    </row>
    <row r="680">
      <c r="K680" s="68"/>
      <c r="L680" s="68"/>
      <c r="M680" s="68"/>
      <c r="N680" s="68"/>
      <c r="O680" s="68"/>
      <c r="P680" s="68"/>
    </row>
    <row r="681">
      <c r="K681" s="68"/>
      <c r="L681" s="68"/>
      <c r="M681" s="68"/>
      <c r="N681" s="68"/>
      <c r="O681" s="68"/>
      <c r="P681" s="68"/>
    </row>
    <row r="682">
      <c r="K682" s="68"/>
      <c r="L682" s="68"/>
      <c r="M682" s="68"/>
      <c r="N682" s="68"/>
      <c r="O682" s="68"/>
      <c r="P682" s="68"/>
    </row>
    <row r="683">
      <c r="K683" s="68"/>
      <c r="L683" s="68"/>
      <c r="M683" s="68"/>
      <c r="N683" s="68"/>
      <c r="O683" s="68"/>
      <c r="P683" s="68"/>
    </row>
    <row r="684">
      <c r="K684" s="68"/>
      <c r="L684" s="68"/>
      <c r="M684" s="68"/>
      <c r="N684" s="68"/>
      <c r="O684" s="68"/>
      <c r="P684" s="68"/>
    </row>
    <row r="685">
      <c r="K685" s="68"/>
      <c r="L685" s="68"/>
      <c r="M685" s="68"/>
      <c r="N685" s="68"/>
      <c r="O685" s="68"/>
      <c r="P685" s="68"/>
    </row>
    <row r="686">
      <c r="K686" s="68"/>
      <c r="L686" s="68"/>
      <c r="M686" s="68"/>
      <c r="N686" s="68"/>
      <c r="O686" s="68"/>
      <c r="P686" s="68"/>
    </row>
    <row r="687">
      <c r="K687" s="68"/>
      <c r="L687" s="68"/>
      <c r="M687" s="68"/>
      <c r="N687" s="68"/>
      <c r="O687" s="68"/>
      <c r="P687" s="68"/>
    </row>
    <row r="688">
      <c r="K688" s="68"/>
      <c r="L688" s="68"/>
      <c r="M688" s="68"/>
      <c r="N688" s="68"/>
      <c r="O688" s="68"/>
      <c r="P688" s="68"/>
    </row>
    <row r="689">
      <c r="K689" s="68"/>
      <c r="L689" s="68"/>
      <c r="M689" s="68"/>
      <c r="N689" s="68"/>
      <c r="O689" s="68"/>
      <c r="P689" s="68"/>
    </row>
    <row r="690">
      <c r="K690" s="68"/>
      <c r="L690" s="68"/>
      <c r="M690" s="68"/>
      <c r="N690" s="68"/>
      <c r="O690" s="68"/>
      <c r="P690" s="68"/>
    </row>
    <row r="691">
      <c r="K691" s="68"/>
      <c r="L691" s="68"/>
      <c r="M691" s="68"/>
      <c r="N691" s="68"/>
      <c r="O691" s="68"/>
      <c r="P691" s="68"/>
    </row>
    <row r="692">
      <c r="K692" s="68"/>
      <c r="L692" s="68"/>
      <c r="M692" s="68"/>
      <c r="N692" s="68"/>
      <c r="O692" s="68"/>
      <c r="P692" s="68"/>
    </row>
    <row r="693">
      <c r="K693" s="68"/>
      <c r="L693" s="68"/>
      <c r="M693" s="68"/>
      <c r="N693" s="68"/>
      <c r="O693" s="68"/>
      <c r="P693" s="68"/>
    </row>
    <row r="694">
      <c r="K694" s="68"/>
      <c r="L694" s="68"/>
      <c r="M694" s="68"/>
      <c r="N694" s="68"/>
      <c r="O694" s="68"/>
      <c r="P694" s="68"/>
    </row>
    <row r="695">
      <c r="K695" s="68"/>
      <c r="L695" s="68"/>
      <c r="M695" s="68"/>
      <c r="N695" s="68"/>
      <c r="O695" s="68"/>
      <c r="P695" s="68"/>
    </row>
    <row r="696">
      <c r="K696" s="68"/>
      <c r="L696" s="68"/>
      <c r="M696" s="68"/>
      <c r="N696" s="68"/>
      <c r="O696" s="68"/>
      <c r="P696" s="68"/>
    </row>
    <row r="697">
      <c r="K697" s="68"/>
      <c r="L697" s="68"/>
      <c r="M697" s="68"/>
      <c r="N697" s="68"/>
      <c r="O697" s="68"/>
      <c r="P697" s="68"/>
    </row>
    <row r="698">
      <c r="K698" s="68"/>
      <c r="L698" s="68"/>
      <c r="M698" s="68"/>
      <c r="N698" s="68"/>
      <c r="O698" s="68"/>
      <c r="P698" s="68"/>
    </row>
    <row r="699">
      <c r="K699" s="68"/>
      <c r="L699" s="68"/>
      <c r="M699" s="68"/>
      <c r="N699" s="68"/>
      <c r="O699" s="68"/>
      <c r="P699" s="68"/>
    </row>
    <row r="700">
      <c r="K700" s="68"/>
      <c r="L700" s="68"/>
      <c r="M700" s="68"/>
      <c r="N700" s="68"/>
      <c r="O700" s="68"/>
      <c r="P700" s="68"/>
    </row>
    <row r="701">
      <c r="K701" s="68"/>
      <c r="L701" s="68"/>
      <c r="M701" s="68"/>
      <c r="N701" s="68"/>
      <c r="O701" s="68"/>
      <c r="P701" s="68"/>
    </row>
    <row r="702">
      <c r="K702" s="68"/>
      <c r="L702" s="68"/>
      <c r="M702" s="68"/>
      <c r="N702" s="68"/>
      <c r="O702" s="68"/>
      <c r="P702" s="68"/>
    </row>
    <row r="703">
      <c r="K703" s="68"/>
      <c r="L703" s="68"/>
      <c r="M703" s="68"/>
      <c r="N703" s="68"/>
      <c r="O703" s="68"/>
      <c r="P703" s="68"/>
    </row>
    <row r="704">
      <c r="K704" s="68"/>
      <c r="L704" s="68"/>
      <c r="M704" s="68"/>
      <c r="N704" s="68"/>
      <c r="O704" s="68"/>
      <c r="P704" s="68"/>
    </row>
    <row r="705">
      <c r="K705" s="68"/>
      <c r="L705" s="68"/>
      <c r="M705" s="68"/>
      <c r="N705" s="68"/>
      <c r="O705" s="68"/>
      <c r="P705" s="68"/>
    </row>
    <row r="706">
      <c r="K706" s="68"/>
      <c r="L706" s="68"/>
      <c r="M706" s="68"/>
      <c r="N706" s="68"/>
      <c r="O706" s="68"/>
      <c r="P706" s="68"/>
    </row>
    <row r="707">
      <c r="K707" s="68"/>
      <c r="L707" s="68"/>
      <c r="M707" s="68"/>
      <c r="N707" s="68"/>
      <c r="O707" s="68"/>
      <c r="P707" s="68"/>
    </row>
    <row r="708">
      <c r="K708" s="68"/>
      <c r="L708" s="68"/>
      <c r="M708" s="68"/>
      <c r="N708" s="68"/>
      <c r="O708" s="68"/>
      <c r="P708" s="68"/>
    </row>
    <row r="709">
      <c r="K709" s="68"/>
      <c r="L709" s="68"/>
      <c r="M709" s="68"/>
      <c r="N709" s="68"/>
      <c r="O709" s="68"/>
      <c r="P709" s="68"/>
    </row>
    <row r="710">
      <c r="K710" s="68"/>
      <c r="L710" s="68"/>
      <c r="M710" s="68"/>
      <c r="N710" s="68"/>
      <c r="O710" s="68"/>
      <c r="P710" s="68"/>
    </row>
    <row r="711">
      <c r="K711" s="68"/>
      <c r="L711" s="68"/>
      <c r="M711" s="68"/>
      <c r="N711" s="68"/>
      <c r="O711" s="68"/>
      <c r="P711" s="68"/>
    </row>
    <row r="712">
      <c r="K712" s="68"/>
      <c r="L712" s="68"/>
      <c r="M712" s="68"/>
      <c r="N712" s="68"/>
      <c r="O712" s="68"/>
      <c r="P712" s="68"/>
    </row>
    <row r="713">
      <c r="K713" s="68"/>
      <c r="L713" s="68"/>
      <c r="M713" s="68"/>
      <c r="N713" s="68"/>
      <c r="O713" s="68"/>
      <c r="P713" s="68"/>
    </row>
    <row r="714">
      <c r="K714" s="68"/>
      <c r="L714" s="68"/>
      <c r="M714" s="68"/>
      <c r="N714" s="68"/>
      <c r="O714" s="68"/>
      <c r="P714" s="68"/>
    </row>
    <row r="715">
      <c r="K715" s="68"/>
      <c r="L715" s="68"/>
      <c r="M715" s="68"/>
      <c r="N715" s="68"/>
      <c r="O715" s="68"/>
      <c r="P715" s="68"/>
    </row>
    <row r="716">
      <c r="K716" s="68"/>
      <c r="L716" s="68"/>
      <c r="M716" s="68"/>
      <c r="N716" s="68"/>
      <c r="O716" s="68"/>
      <c r="P716" s="68"/>
    </row>
    <row r="717">
      <c r="K717" s="68"/>
      <c r="L717" s="68"/>
      <c r="M717" s="68"/>
      <c r="N717" s="68"/>
      <c r="O717" s="68"/>
      <c r="P717" s="68"/>
    </row>
    <row r="718">
      <c r="K718" s="68"/>
      <c r="L718" s="68"/>
      <c r="M718" s="68"/>
      <c r="N718" s="68"/>
      <c r="O718" s="68"/>
      <c r="P718" s="68"/>
    </row>
    <row r="719">
      <c r="K719" s="68"/>
      <c r="L719" s="68"/>
      <c r="M719" s="68"/>
      <c r="N719" s="68"/>
      <c r="O719" s="68"/>
      <c r="P719" s="68"/>
    </row>
    <row r="720">
      <c r="K720" s="68"/>
      <c r="L720" s="68"/>
      <c r="M720" s="68"/>
      <c r="N720" s="68"/>
      <c r="O720" s="68"/>
      <c r="P720" s="68"/>
    </row>
    <row r="721">
      <c r="K721" s="68"/>
      <c r="L721" s="68"/>
      <c r="M721" s="68"/>
      <c r="N721" s="68"/>
      <c r="O721" s="68"/>
      <c r="P721" s="68"/>
    </row>
    <row r="722">
      <c r="K722" s="68"/>
      <c r="L722" s="68"/>
      <c r="M722" s="68"/>
      <c r="N722" s="68"/>
      <c r="O722" s="68"/>
      <c r="P722" s="68"/>
    </row>
    <row r="723">
      <c r="K723" s="68"/>
      <c r="L723" s="68"/>
      <c r="M723" s="68"/>
      <c r="N723" s="68"/>
      <c r="O723" s="68"/>
      <c r="P723" s="68"/>
    </row>
    <row r="724">
      <c r="K724" s="68"/>
      <c r="L724" s="68"/>
      <c r="M724" s="68"/>
      <c r="N724" s="68"/>
      <c r="O724" s="68"/>
      <c r="P724" s="68"/>
    </row>
    <row r="725">
      <c r="K725" s="68"/>
      <c r="L725" s="68"/>
      <c r="M725" s="68"/>
      <c r="N725" s="68"/>
      <c r="O725" s="68"/>
      <c r="P725" s="68"/>
    </row>
    <row r="726">
      <c r="K726" s="68"/>
      <c r="L726" s="68"/>
      <c r="M726" s="68"/>
      <c r="N726" s="68"/>
      <c r="O726" s="68"/>
      <c r="P726" s="68"/>
    </row>
    <row r="727">
      <c r="K727" s="68"/>
      <c r="L727" s="68"/>
      <c r="M727" s="68"/>
      <c r="N727" s="68"/>
      <c r="O727" s="68"/>
      <c r="P727" s="68"/>
    </row>
    <row r="728">
      <c r="K728" s="68"/>
      <c r="L728" s="68"/>
      <c r="M728" s="68"/>
      <c r="N728" s="68"/>
      <c r="O728" s="68"/>
      <c r="P728" s="68"/>
    </row>
    <row r="729">
      <c r="K729" s="68"/>
      <c r="L729" s="68"/>
      <c r="M729" s="68"/>
      <c r="N729" s="68"/>
      <c r="O729" s="68"/>
      <c r="P729" s="68"/>
    </row>
    <row r="730">
      <c r="K730" s="68"/>
      <c r="L730" s="68"/>
      <c r="M730" s="68"/>
      <c r="N730" s="68"/>
      <c r="O730" s="68"/>
      <c r="P730" s="68"/>
    </row>
    <row r="731">
      <c r="K731" s="68"/>
      <c r="L731" s="68"/>
      <c r="M731" s="68"/>
      <c r="N731" s="68"/>
      <c r="O731" s="68"/>
      <c r="P731" s="68"/>
    </row>
    <row r="732">
      <c r="K732" s="68"/>
      <c r="L732" s="68"/>
      <c r="M732" s="68"/>
      <c r="N732" s="68"/>
      <c r="O732" s="68"/>
      <c r="P732" s="68"/>
    </row>
    <row r="733">
      <c r="K733" s="68"/>
      <c r="L733" s="68"/>
      <c r="M733" s="68"/>
      <c r="N733" s="68"/>
      <c r="O733" s="68"/>
      <c r="P733" s="68"/>
    </row>
    <row r="734">
      <c r="K734" s="68"/>
      <c r="L734" s="68"/>
      <c r="M734" s="68"/>
      <c r="N734" s="68"/>
      <c r="O734" s="68"/>
      <c r="P734" s="68"/>
    </row>
    <row r="735">
      <c r="K735" s="68"/>
      <c r="L735" s="68"/>
      <c r="M735" s="68"/>
      <c r="N735" s="68"/>
      <c r="O735" s="68"/>
      <c r="P735" s="68"/>
    </row>
    <row r="736">
      <c r="K736" s="68"/>
      <c r="L736" s="68"/>
      <c r="M736" s="68"/>
      <c r="N736" s="68"/>
      <c r="O736" s="68"/>
      <c r="P736" s="68"/>
    </row>
    <row r="737">
      <c r="K737" s="68"/>
      <c r="L737" s="68"/>
      <c r="M737" s="68"/>
      <c r="N737" s="68"/>
      <c r="O737" s="68"/>
      <c r="P737" s="68"/>
    </row>
    <row r="738">
      <c r="K738" s="68"/>
      <c r="L738" s="68"/>
      <c r="M738" s="68"/>
      <c r="N738" s="68"/>
      <c r="O738" s="68"/>
      <c r="P738" s="68"/>
    </row>
    <row r="739">
      <c r="K739" s="68"/>
      <c r="L739" s="68"/>
      <c r="M739" s="68"/>
      <c r="N739" s="68"/>
      <c r="O739" s="68"/>
      <c r="P739" s="68"/>
    </row>
    <row r="740">
      <c r="K740" s="68"/>
      <c r="L740" s="68"/>
      <c r="M740" s="68"/>
      <c r="N740" s="68"/>
      <c r="O740" s="68"/>
      <c r="P740" s="68"/>
    </row>
    <row r="741">
      <c r="K741" s="68"/>
      <c r="L741" s="68"/>
      <c r="M741" s="68"/>
      <c r="N741" s="68"/>
      <c r="O741" s="68"/>
      <c r="P741" s="68"/>
    </row>
    <row r="742">
      <c r="K742" s="68"/>
      <c r="L742" s="68"/>
      <c r="M742" s="68"/>
      <c r="N742" s="68"/>
      <c r="O742" s="68"/>
      <c r="P742" s="68"/>
    </row>
    <row r="743">
      <c r="K743" s="68"/>
      <c r="L743" s="68"/>
      <c r="M743" s="68"/>
      <c r="N743" s="68"/>
      <c r="O743" s="68"/>
      <c r="P743" s="68"/>
    </row>
    <row r="744">
      <c r="K744" s="68"/>
      <c r="L744" s="68"/>
      <c r="M744" s="68"/>
      <c r="N744" s="68"/>
      <c r="O744" s="68"/>
      <c r="P744" s="68"/>
    </row>
    <row r="745">
      <c r="K745" s="68"/>
      <c r="L745" s="68"/>
      <c r="M745" s="68"/>
      <c r="N745" s="68"/>
      <c r="O745" s="68"/>
      <c r="P745" s="68"/>
    </row>
    <row r="746">
      <c r="K746" s="68"/>
      <c r="L746" s="68"/>
      <c r="M746" s="68"/>
      <c r="N746" s="68"/>
      <c r="O746" s="68"/>
      <c r="P746" s="68"/>
    </row>
    <row r="747">
      <c r="K747" s="68"/>
      <c r="L747" s="68"/>
      <c r="M747" s="68"/>
      <c r="N747" s="68"/>
      <c r="O747" s="68"/>
      <c r="P747" s="68"/>
    </row>
    <row r="748">
      <c r="K748" s="68"/>
      <c r="L748" s="68"/>
      <c r="M748" s="68"/>
      <c r="N748" s="68"/>
      <c r="O748" s="68"/>
      <c r="P748" s="68"/>
    </row>
    <row r="749">
      <c r="K749" s="68"/>
      <c r="L749" s="68"/>
      <c r="M749" s="68"/>
      <c r="N749" s="68"/>
      <c r="O749" s="68"/>
      <c r="P749" s="68"/>
    </row>
    <row r="750">
      <c r="K750" s="68"/>
      <c r="L750" s="68"/>
      <c r="M750" s="68"/>
      <c r="N750" s="68"/>
      <c r="O750" s="68"/>
      <c r="P750" s="68"/>
    </row>
    <row r="751">
      <c r="K751" s="68"/>
      <c r="L751" s="68"/>
      <c r="M751" s="68"/>
      <c r="N751" s="68"/>
      <c r="O751" s="68"/>
      <c r="P751" s="68"/>
    </row>
    <row r="752">
      <c r="K752" s="68"/>
      <c r="L752" s="68"/>
      <c r="M752" s="68"/>
      <c r="N752" s="68"/>
      <c r="O752" s="68"/>
      <c r="P752" s="68"/>
    </row>
    <row r="753">
      <c r="K753" s="68"/>
      <c r="L753" s="68"/>
      <c r="M753" s="68"/>
      <c r="N753" s="68"/>
      <c r="O753" s="68"/>
      <c r="P753" s="68"/>
    </row>
    <row r="754">
      <c r="K754" s="68"/>
      <c r="L754" s="68"/>
      <c r="M754" s="68"/>
      <c r="N754" s="68"/>
      <c r="O754" s="68"/>
      <c r="P754" s="68"/>
    </row>
    <row r="755">
      <c r="K755" s="68"/>
      <c r="L755" s="68"/>
      <c r="M755" s="68"/>
      <c r="N755" s="68"/>
      <c r="O755" s="68"/>
      <c r="P755" s="68"/>
    </row>
    <row r="756">
      <c r="K756" s="68"/>
      <c r="L756" s="68"/>
      <c r="M756" s="68"/>
      <c r="N756" s="68"/>
      <c r="O756" s="68"/>
      <c r="P756" s="68"/>
    </row>
    <row r="757">
      <c r="K757" s="68"/>
      <c r="L757" s="68"/>
      <c r="M757" s="68"/>
      <c r="N757" s="68"/>
      <c r="O757" s="68"/>
      <c r="P757" s="68"/>
    </row>
    <row r="758">
      <c r="K758" s="68"/>
      <c r="L758" s="68"/>
      <c r="M758" s="68"/>
      <c r="N758" s="68"/>
      <c r="O758" s="68"/>
      <c r="P758" s="68"/>
    </row>
    <row r="759">
      <c r="K759" s="68"/>
      <c r="L759" s="68"/>
      <c r="M759" s="68"/>
      <c r="N759" s="68"/>
      <c r="O759" s="68"/>
      <c r="P759" s="68"/>
    </row>
    <row r="760">
      <c r="K760" s="68"/>
      <c r="L760" s="68"/>
      <c r="M760" s="68"/>
      <c r="N760" s="68"/>
      <c r="O760" s="68"/>
      <c r="P760" s="68"/>
    </row>
    <row r="761">
      <c r="K761" s="68"/>
      <c r="L761" s="68"/>
      <c r="M761" s="68"/>
      <c r="N761" s="68"/>
      <c r="O761" s="68"/>
      <c r="P761" s="68"/>
    </row>
    <row r="762">
      <c r="K762" s="68"/>
      <c r="L762" s="68"/>
      <c r="M762" s="68"/>
      <c r="N762" s="68"/>
      <c r="O762" s="68"/>
      <c r="P762" s="68"/>
    </row>
    <row r="763">
      <c r="K763" s="68"/>
      <c r="L763" s="68"/>
      <c r="M763" s="68"/>
      <c r="N763" s="68"/>
      <c r="O763" s="68"/>
      <c r="P763" s="68"/>
    </row>
    <row r="764">
      <c r="K764" s="68"/>
      <c r="L764" s="68"/>
      <c r="M764" s="68"/>
      <c r="N764" s="68"/>
      <c r="O764" s="68"/>
      <c r="P764" s="68"/>
    </row>
    <row r="765">
      <c r="K765" s="68"/>
      <c r="L765" s="68"/>
      <c r="M765" s="68"/>
      <c r="N765" s="68"/>
      <c r="O765" s="68"/>
      <c r="P765" s="68"/>
    </row>
    <row r="766">
      <c r="K766" s="68"/>
      <c r="L766" s="68"/>
      <c r="M766" s="68"/>
      <c r="N766" s="68"/>
      <c r="O766" s="68"/>
      <c r="P766" s="68"/>
    </row>
    <row r="767">
      <c r="K767" s="68"/>
      <c r="L767" s="68"/>
      <c r="M767" s="68"/>
      <c r="N767" s="68"/>
      <c r="O767" s="68"/>
      <c r="P767" s="68"/>
    </row>
    <row r="768">
      <c r="K768" s="68"/>
      <c r="L768" s="68"/>
      <c r="M768" s="68"/>
      <c r="N768" s="68"/>
      <c r="O768" s="68"/>
      <c r="P768" s="68"/>
    </row>
    <row r="769">
      <c r="K769" s="68"/>
      <c r="L769" s="68"/>
      <c r="M769" s="68"/>
      <c r="N769" s="68"/>
      <c r="O769" s="68"/>
      <c r="P769" s="68"/>
    </row>
    <row r="770">
      <c r="K770" s="68"/>
      <c r="L770" s="68"/>
      <c r="M770" s="68"/>
      <c r="N770" s="68"/>
      <c r="O770" s="68"/>
      <c r="P770" s="68"/>
    </row>
    <row r="771">
      <c r="K771" s="68"/>
      <c r="L771" s="68"/>
      <c r="M771" s="68"/>
      <c r="N771" s="68"/>
      <c r="O771" s="68"/>
      <c r="P771" s="68"/>
    </row>
    <row r="772">
      <c r="K772" s="68"/>
      <c r="L772" s="68"/>
      <c r="M772" s="68"/>
      <c r="N772" s="68"/>
      <c r="O772" s="68"/>
      <c r="P772" s="68"/>
    </row>
    <row r="773">
      <c r="K773" s="68"/>
      <c r="L773" s="68"/>
      <c r="M773" s="68"/>
      <c r="N773" s="68"/>
      <c r="O773" s="68"/>
      <c r="P773" s="68"/>
    </row>
    <row r="774">
      <c r="K774" s="68"/>
      <c r="L774" s="68"/>
      <c r="M774" s="68"/>
      <c r="N774" s="68"/>
      <c r="O774" s="68"/>
      <c r="P774" s="68"/>
    </row>
    <row r="775">
      <c r="K775" s="68"/>
      <c r="L775" s="68"/>
      <c r="M775" s="68"/>
      <c r="N775" s="68"/>
      <c r="O775" s="68"/>
      <c r="P775" s="68"/>
    </row>
    <row r="776">
      <c r="K776" s="68"/>
      <c r="L776" s="68"/>
      <c r="M776" s="68"/>
      <c r="N776" s="68"/>
      <c r="O776" s="68"/>
      <c r="P776" s="68"/>
    </row>
    <row r="777">
      <c r="K777" s="68"/>
      <c r="L777" s="68"/>
      <c r="M777" s="68"/>
      <c r="N777" s="68"/>
      <c r="O777" s="68"/>
      <c r="P777" s="68"/>
    </row>
    <row r="778">
      <c r="K778" s="68"/>
      <c r="L778" s="68"/>
      <c r="M778" s="68"/>
      <c r="N778" s="68"/>
      <c r="O778" s="68"/>
      <c r="P778" s="68"/>
    </row>
    <row r="779">
      <c r="K779" s="68"/>
      <c r="L779" s="68"/>
      <c r="M779" s="68"/>
      <c r="N779" s="68"/>
      <c r="O779" s="68"/>
      <c r="P779" s="68"/>
    </row>
    <row r="780">
      <c r="K780" s="68"/>
      <c r="L780" s="68"/>
      <c r="M780" s="68"/>
      <c r="N780" s="68"/>
      <c r="O780" s="68"/>
      <c r="P780" s="68"/>
    </row>
    <row r="781">
      <c r="K781" s="68"/>
      <c r="L781" s="68"/>
      <c r="M781" s="68"/>
      <c r="N781" s="68"/>
      <c r="O781" s="68"/>
      <c r="P781" s="68"/>
    </row>
    <row r="782">
      <c r="K782" s="68"/>
      <c r="L782" s="68"/>
      <c r="M782" s="68"/>
      <c r="N782" s="68"/>
      <c r="O782" s="68"/>
      <c r="P782" s="68"/>
    </row>
    <row r="783">
      <c r="K783" s="68"/>
      <c r="L783" s="68"/>
      <c r="M783" s="68"/>
      <c r="N783" s="68"/>
      <c r="O783" s="68"/>
      <c r="P783" s="68"/>
    </row>
    <row r="784">
      <c r="K784" s="68"/>
      <c r="L784" s="68"/>
      <c r="M784" s="68"/>
      <c r="N784" s="68"/>
      <c r="O784" s="68"/>
      <c r="P784" s="68"/>
    </row>
    <row r="785">
      <c r="K785" s="68"/>
      <c r="L785" s="68"/>
      <c r="M785" s="68"/>
      <c r="N785" s="68"/>
      <c r="O785" s="68"/>
      <c r="P785" s="68"/>
    </row>
    <row r="786">
      <c r="K786" s="68"/>
      <c r="L786" s="68"/>
      <c r="M786" s="68"/>
      <c r="N786" s="68"/>
      <c r="O786" s="68"/>
      <c r="P786" s="68"/>
    </row>
    <row r="787">
      <c r="K787" s="68"/>
      <c r="L787" s="68"/>
      <c r="M787" s="68"/>
      <c r="N787" s="68"/>
      <c r="O787" s="68"/>
      <c r="P787" s="68"/>
    </row>
    <row r="788">
      <c r="K788" s="68"/>
      <c r="L788" s="68"/>
      <c r="M788" s="68"/>
      <c r="N788" s="68"/>
      <c r="O788" s="68"/>
      <c r="P788" s="68"/>
    </row>
    <row r="789">
      <c r="K789" s="68"/>
      <c r="L789" s="68"/>
      <c r="M789" s="68"/>
      <c r="N789" s="68"/>
      <c r="O789" s="68"/>
      <c r="P789" s="68"/>
    </row>
    <row r="790">
      <c r="K790" s="68"/>
      <c r="L790" s="68"/>
      <c r="M790" s="68"/>
      <c r="N790" s="68"/>
      <c r="O790" s="68"/>
      <c r="P790" s="68"/>
    </row>
    <row r="791">
      <c r="K791" s="68"/>
      <c r="L791" s="68"/>
      <c r="M791" s="68"/>
      <c r="N791" s="68"/>
      <c r="O791" s="68"/>
      <c r="P791" s="68"/>
    </row>
    <row r="792">
      <c r="K792" s="68"/>
      <c r="L792" s="68"/>
      <c r="M792" s="68"/>
      <c r="N792" s="68"/>
      <c r="O792" s="68"/>
      <c r="P792" s="68"/>
    </row>
    <row r="793">
      <c r="K793" s="68"/>
      <c r="L793" s="68"/>
      <c r="M793" s="68"/>
      <c r="N793" s="68"/>
      <c r="O793" s="68"/>
      <c r="P793" s="68"/>
    </row>
    <row r="794">
      <c r="K794" s="68"/>
      <c r="L794" s="68"/>
      <c r="M794" s="68"/>
      <c r="N794" s="68"/>
      <c r="O794" s="68"/>
      <c r="P794" s="68"/>
    </row>
    <row r="795">
      <c r="K795" s="68"/>
      <c r="L795" s="68"/>
      <c r="M795" s="68"/>
      <c r="N795" s="68"/>
      <c r="O795" s="68"/>
      <c r="P795" s="68"/>
    </row>
    <row r="796">
      <c r="K796" s="68"/>
      <c r="L796" s="68"/>
      <c r="M796" s="68"/>
      <c r="N796" s="68"/>
      <c r="O796" s="68"/>
      <c r="P796" s="68"/>
    </row>
    <row r="797">
      <c r="K797" s="68"/>
      <c r="L797" s="68"/>
      <c r="M797" s="68"/>
      <c r="N797" s="68"/>
      <c r="O797" s="68"/>
      <c r="P797" s="68"/>
    </row>
    <row r="798">
      <c r="K798" s="68"/>
      <c r="L798" s="68"/>
      <c r="M798" s="68"/>
      <c r="N798" s="68"/>
      <c r="O798" s="68"/>
      <c r="P798" s="68"/>
    </row>
    <row r="799">
      <c r="K799" s="68"/>
      <c r="L799" s="68"/>
      <c r="M799" s="68"/>
      <c r="N799" s="68"/>
      <c r="O799" s="68"/>
      <c r="P799" s="68"/>
    </row>
    <row r="800">
      <c r="K800" s="68"/>
      <c r="L800" s="68"/>
      <c r="M800" s="68"/>
      <c r="N800" s="68"/>
      <c r="O800" s="68"/>
      <c r="P800" s="68"/>
    </row>
    <row r="801">
      <c r="K801" s="68"/>
      <c r="L801" s="68"/>
      <c r="M801" s="68"/>
      <c r="N801" s="68"/>
      <c r="O801" s="68"/>
      <c r="P801" s="68"/>
    </row>
    <row r="802">
      <c r="K802" s="68"/>
      <c r="L802" s="68"/>
      <c r="M802" s="68"/>
      <c r="N802" s="68"/>
      <c r="O802" s="68"/>
      <c r="P802" s="68"/>
    </row>
    <row r="803">
      <c r="K803" s="68"/>
      <c r="L803" s="68"/>
      <c r="M803" s="68"/>
      <c r="N803" s="68"/>
      <c r="O803" s="68"/>
      <c r="P803" s="68"/>
    </row>
    <row r="804">
      <c r="K804" s="68"/>
      <c r="L804" s="68"/>
      <c r="M804" s="68"/>
      <c r="N804" s="68"/>
      <c r="O804" s="68"/>
      <c r="P804" s="68"/>
    </row>
    <row r="805">
      <c r="K805" s="68"/>
      <c r="L805" s="68"/>
      <c r="M805" s="68"/>
      <c r="N805" s="68"/>
      <c r="O805" s="68"/>
      <c r="P805" s="68"/>
    </row>
    <row r="806">
      <c r="K806" s="68"/>
      <c r="L806" s="68"/>
      <c r="M806" s="68"/>
      <c r="N806" s="68"/>
      <c r="O806" s="68"/>
      <c r="P806" s="68"/>
    </row>
    <row r="807">
      <c r="K807" s="68"/>
      <c r="L807" s="68"/>
      <c r="M807" s="68"/>
      <c r="N807" s="68"/>
      <c r="O807" s="68"/>
      <c r="P807" s="68"/>
    </row>
    <row r="808">
      <c r="K808" s="68"/>
      <c r="L808" s="68"/>
      <c r="M808" s="68"/>
      <c r="N808" s="68"/>
      <c r="O808" s="68"/>
      <c r="P808" s="68"/>
    </row>
    <row r="809">
      <c r="K809" s="68"/>
      <c r="L809" s="68"/>
      <c r="M809" s="68"/>
      <c r="N809" s="68"/>
      <c r="O809" s="68"/>
      <c r="P809" s="68"/>
    </row>
    <row r="810">
      <c r="K810" s="68"/>
      <c r="L810" s="68"/>
      <c r="M810" s="68"/>
      <c r="N810" s="68"/>
      <c r="O810" s="68"/>
      <c r="P810" s="68"/>
    </row>
    <row r="811">
      <c r="K811" s="68"/>
      <c r="L811" s="68"/>
      <c r="M811" s="68"/>
      <c r="N811" s="68"/>
      <c r="O811" s="68"/>
      <c r="P811" s="68"/>
    </row>
    <row r="812">
      <c r="K812" s="68"/>
      <c r="L812" s="68"/>
      <c r="M812" s="68"/>
      <c r="N812" s="68"/>
      <c r="O812" s="68"/>
      <c r="P812" s="68"/>
    </row>
    <row r="813">
      <c r="K813" s="68"/>
      <c r="L813" s="68"/>
      <c r="M813" s="68"/>
      <c r="N813" s="68"/>
      <c r="O813" s="68"/>
      <c r="P813" s="68"/>
    </row>
    <row r="814">
      <c r="K814" s="68"/>
      <c r="L814" s="68"/>
      <c r="M814" s="68"/>
      <c r="N814" s="68"/>
      <c r="O814" s="68"/>
      <c r="P814" s="68"/>
    </row>
    <row r="815">
      <c r="K815" s="68"/>
      <c r="L815" s="68"/>
      <c r="M815" s="68"/>
      <c r="N815" s="68"/>
      <c r="O815" s="68"/>
      <c r="P815" s="68"/>
    </row>
    <row r="816">
      <c r="K816" s="68"/>
      <c r="L816" s="68"/>
      <c r="M816" s="68"/>
      <c r="N816" s="68"/>
      <c r="O816" s="68"/>
      <c r="P816" s="68"/>
    </row>
    <row r="817">
      <c r="K817" s="68"/>
      <c r="L817" s="68"/>
      <c r="M817" s="68"/>
      <c r="N817" s="68"/>
      <c r="O817" s="68"/>
      <c r="P817" s="68"/>
    </row>
    <row r="818">
      <c r="K818" s="68"/>
      <c r="L818" s="68"/>
      <c r="M818" s="68"/>
      <c r="N818" s="68"/>
      <c r="O818" s="68"/>
      <c r="P818" s="68"/>
    </row>
    <row r="819">
      <c r="K819" s="68"/>
      <c r="L819" s="68"/>
      <c r="M819" s="68"/>
      <c r="N819" s="68"/>
      <c r="O819" s="68"/>
      <c r="P819" s="68"/>
    </row>
    <row r="820">
      <c r="K820" s="68"/>
      <c r="L820" s="68"/>
      <c r="M820" s="68"/>
      <c r="N820" s="68"/>
      <c r="O820" s="68"/>
      <c r="P820" s="68"/>
    </row>
    <row r="821">
      <c r="K821" s="68"/>
      <c r="L821" s="68"/>
      <c r="M821" s="68"/>
      <c r="N821" s="68"/>
      <c r="O821" s="68"/>
      <c r="P821" s="68"/>
    </row>
    <row r="822">
      <c r="K822" s="68"/>
      <c r="L822" s="68"/>
      <c r="M822" s="68"/>
      <c r="N822" s="68"/>
      <c r="O822" s="68"/>
      <c r="P822" s="68"/>
    </row>
    <row r="823">
      <c r="K823" s="68"/>
      <c r="L823" s="68"/>
      <c r="M823" s="68"/>
      <c r="N823" s="68"/>
      <c r="O823" s="68"/>
      <c r="P823" s="68"/>
    </row>
    <row r="824">
      <c r="K824" s="68"/>
      <c r="L824" s="68"/>
      <c r="M824" s="68"/>
      <c r="N824" s="68"/>
      <c r="O824" s="68"/>
      <c r="P824" s="68"/>
    </row>
    <row r="825">
      <c r="K825" s="68"/>
      <c r="L825" s="68"/>
      <c r="M825" s="68"/>
      <c r="N825" s="68"/>
      <c r="O825" s="68"/>
      <c r="P825" s="68"/>
    </row>
    <row r="826">
      <c r="K826" s="68"/>
      <c r="L826" s="68"/>
      <c r="M826" s="68"/>
      <c r="N826" s="68"/>
      <c r="O826" s="68"/>
      <c r="P826" s="68"/>
    </row>
    <row r="827">
      <c r="K827" s="68"/>
      <c r="L827" s="68"/>
      <c r="M827" s="68"/>
      <c r="N827" s="68"/>
      <c r="O827" s="68"/>
      <c r="P827" s="68"/>
    </row>
    <row r="828">
      <c r="K828" s="68"/>
      <c r="L828" s="68"/>
      <c r="M828" s="68"/>
      <c r="N828" s="68"/>
      <c r="O828" s="68"/>
      <c r="P828" s="68"/>
    </row>
    <row r="829">
      <c r="K829" s="68"/>
      <c r="L829" s="68"/>
      <c r="M829" s="68"/>
      <c r="N829" s="68"/>
      <c r="O829" s="68"/>
      <c r="P829" s="68"/>
    </row>
    <row r="830">
      <c r="K830" s="68"/>
      <c r="L830" s="68"/>
      <c r="M830" s="68"/>
      <c r="N830" s="68"/>
      <c r="O830" s="68"/>
      <c r="P830" s="68"/>
    </row>
    <row r="831">
      <c r="K831" s="68"/>
      <c r="L831" s="68"/>
      <c r="M831" s="68"/>
      <c r="N831" s="68"/>
      <c r="O831" s="68"/>
      <c r="P831" s="68"/>
    </row>
    <row r="832">
      <c r="K832" s="68"/>
      <c r="L832" s="68"/>
      <c r="M832" s="68"/>
      <c r="N832" s="68"/>
      <c r="O832" s="68"/>
      <c r="P832" s="68"/>
    </row>
    <row r="833">
      <c r="K833" s="68"/>
      <c r="L833" s="68"/>
      <c r="M833" s="68"/>
      <c r="N833" s="68"/>
      <c r="O833" s="68"/>
      <c r="P833" s="68"/>
    </row>
    <row r="834">
      <c r="K834" s="68"/>
      <c r="L834" s="68"/>
      <c r="M834" s="68"/>
      <c r="N834" s="68"/>
      <c r="O834" s="68"/>
      <c r="P834" s="68"/>
    </row>
    <row r="835">
      <c r="K835" s="68"/>
      <c r="L835" s="68"/>
      <c r="M835" s="68"/>
      <c r="N835" s="68"/>
      <c r="O835" s="68"/>
      <c r="P835" s="68"/>
    </row>
    <row r="836">
      <c r="K836" s="68"/>
      <c r="L836" s="68"/>
      <c r="M836" s="68"/>
      <c r="N836" s="68"/>
      <c r="O836" s="68"/>
      <c r="P836" s="68"/>
    </row>
    <row r="837">
      <c r="K837" s="68"/>
      <c r="L837" s="68"/>
      <c r="M837" s="68"/>
      <c r="N837" s="68"/>
      <c r="O837" s="68"/>
      <c r="P837" s="68"/>
    </row>
    <row r="838">
      <c r="K838" s="68"/>
      <c r="L838" s="68"/>
      <c r="M838" s="68"/>
      <c r="N838" s="68"/>
      <c r="O838" s="68"/>
      <c r="P838" s="68"/>
    </row>
    <row r="839">
      <c r="K839" s="68"/>
      <c r="L839" s="68"/>
      <c r="M839" s="68"/>
      <c r="N839" s="68"/>
      <c r="O839" s="68"/>
      <c r="P839" s="68"/>
    </row>
    <row r="840">
      <c r="K840" s="68"/>
      <c r="L840" s="68"/>
      <c r="M840" s="68"/>
      <c r="N840" s="68"/>
      <c r="O840" s="68"/>
      <c r="P840" s="68"/>
    </row>
    <row r="841">
      <c r="K841" s="68"/>
      <c r="L841" s="68"/>
      <c r="M841" s="68"/>
      <c r="N841" s="68"/>
      <c r="O841" s="68"/>
      <c r="P841" s="68"/>
    </row>
    <row r="842">
      <c r="K842" s="68"/>
      <c r="L842" s="68"/>
      <c r="M842" s="68"/>
      <c r="N842" s="68"/>
      <c r="O842" s="68"/>
      <c r="P842" s="68"/>
    </row>
    <row r="843">
      <c r="K843" s="68"/>
      <c r="L843" s="68"/>
      <c r="M843" s="68"/>
      <c r="N843" s="68"/>
      <c r="O843" s="68"/>
      <c r="P843" s="68"/>
    </row>
    <row r="844">
      <c r="K844" s="68"/>
      <c r="L844" s="68"/>
      <c r="M844" s="68"/>
      <c r="N844" s="68"/>
      <c r="O844" s="68"/>
      <c r="P844" s="68"/>
    </row>
    <row r="845">
      <c r="K845" s="68"/>
      <c r="L845" s="68"/>
      <c r="M845" s="68"/>
      <c r="N845" s="68"/>
      <c r="O845" s="68"/>
      <c r="P845" s="68"/>
    </row>
    <row r="846">
      <c r="K846" s="68"/>
      <c r="L846" s="68"/>
      <c r="M846" s="68"/>
      <c r="N846" s="68"/>
      <c r="O846" s="68"/>
      <c r="P846" s="68"/>
    </row>
    <row r="847">
      <c r="K847" s="68"/>
      <c r="L847" s="68"/>
      <c r="M847" s="68"/>
      <c r="N847" s="68"/>
      <c r="O847" s="68"/>
      <c r="P847" s="68"/>
    </row>
    <row r="848">
      <c r="K848" s="68"/>
      <c r="L848" s="68"/>
      <c r="M848" s="68"/>
      <c r="N848" s="68"/>
      <c r="O848" s="68"/>
      <c r="P848" s="68"/>
    </row>
    <row r="849">
      <c r="K849" s="68"/>
      <c r="L849" s="68"/>
      <c r="M849" s="68"/>
      <c r="N849" s="68"/>
      <c r="O849" s="68"/>
      <c r="P849" s="68"/>
    </row>
    <row r="850">
      <c r="K850" s="68"/>
      <c r="L850" s="68"/>
      <c r="M850" s="68"/>
      <c r="N850" s="68"/>
      <c r="O850" s="68"/>
      <c r="P850" s="68"/>
    </row>
    <row r="851">
      <c r="K851" s="68"/>
      <c r="L851" s="68"/>
      <c r="M851" s="68"/>
      <c r="N851" s="68"/>
      <c r="O851" s="68"/>
      <c r="P851" s="68"/>
    </row>
    <row r="852">
      <c r="K852" s="68"/>
      <c r="L852" s="68"/>
      <c r="M852" s="68"/>
      <c r="N852" s="68"/>
      <c r="O852" s="68"/>
      <c r="P852" s="68"/>
    </row>
    <row r="853">
      <c r="K853" s="68"/>
      <c r="L853" s="68"/>
      <c r="M853" s="68"/>
      <c r="N853" s="68"/>
      <c r="O853" s="68"/>
      <c r="P853" s="68"/>
    </row>
    <row r="854">
      <c r="K854" s="68"/>
      <c r="L854" s="68"/>
      <c r="M854" s="68"/>
      <c r="N854" s="68"/>
      <c r="O854" s="68"/>
      <c r="P854" s="68"/>
    </row>
    <row r="855">
      <c r="K855" s="68"/>
      <c r="L855" s="68"/>
      <c r="M855" s="68"/>
      <c r="N855" s="68"/>
      <c r="O855" s="68"/>
      <c r="P855" s="68"/>
    </row>
    <row r="856">
      <c r="K856" s="68"/>
      <c r="L856" s="68"/>
      <c r="M856" s="68"/>
      <c r="N856" s="68"/>
      <c r="O856" s="68"/>
      <c r="P856" s="68"/>
    </row>
    <row r="857">
      <c r="K857" s="68"/>
      <c r="L857" s="68"/>
      <c r="M857" s="68"/>
      <c r="N857" s="68"/>
      <c r="O857" s="68"/>
      <c r="P857" s="68"/>
    </row>
    <row r="858">
      <c r="K858" s="68"/>
      <c r="L858" s="68"/>
      <c r="M858" s="68"/>
      <c r="N858" s="68"/>
      <c r="O858" s="68"/>
      <c r="P858" s="68"/>
    </row>
    <row r="859">
      <c r="K859" s="68"/>
      <c r="L859" s="68"/>
      <c r="M859" s="68"/>
      <c r="N859" s="68"/>
      <c r="O859" s="68"/>
      <c r="P859" s="68"/>
    </row>
    <row r="860">
      <c r="K860" s="68"/>
      <c r="L860" s="68"/>
      <c r="M860" s="68"/>
      <c r="N860" s="68"/>
      <c r="O860" s="68"/>
      <c r="P860" s="68"/>
    </row>
    <row r="861">
      <c r="K861" s="68"/>
      <c r="L861" s="68"/>
      <c r="M861" s="68"/>
      <c r="N861" s="68"/>
      <c r="O861" s="68"/>
      <c r="P861" s="68"/>
    </row>
    <row r="862">
      <c r="K862" s="68"/>
      <c r="L862" s="68"/>
      <c r="M862" s="68"/>
      <c r="N862" s="68"/>
      <c r="O862" s="68"/>
      <c r="P862" s="68"/>
    </row>
    <row r="863">
      <c r="K863" s="68"/>
      <c r="L863" s="68"/>
      <c r="M863" s="68"/>
      <c r="N863" s="68"/>
      <c r="O863" s="68"/>
      <c r="P863" s="68"/>
    </row>
    <row r="864">
      <c r="K864" s="68"/>
      <c r="L864" s="68"/>
      <c r="M864" s="68"/>
      <c r="N864" s="68"/>
      <c r="O864" s="68"/>
      <c r="P864" s="68"/>
    </row>
    <row r="865">
      <c r="K865" s="68"/>
      <c r="L865" s="68"/>
      <c r="M865" s="68"/>
      <c r="N865" s="68"/>
      <c r="O865" s="68"/>
      <c r="P865" s="68"/>
    </row>
    <row r="866">
      <c r="K866" s="68"/>
      <c r="L866" s="68"/>
      <c r="M866" s="68"/>
      <c r="N866" s="68"/>
      <c r="O866" s="68"/>
      <c r="P866" s="68"/>
    </row>
    <row r="867">
      <c r="K867" s="68"/>
      <c r="L867" s="68"/>
      <c r="M867" s="68"/>
      <c r="N867" s="68"/>
      <c r="O867" s="68"/>
      <c r="P867" s="68"/>
    </row>
    <row r="868">
      <c r="K868" s="68"/>
      <c r="L868" s="68"/>
      <c r="M868" s="68"/>
      <c r="N868" s="68"/>
      <c r="O868" s="68"/>
      <c r="P868" s="68"/>
    </row>
    <row r="869">
      <c r="K869" s="68"/>
      <c r="L869" s="68"/>
      <c r="M869" s="68"/>
      <c r="N869" s="68"/>
      <c r="O869" s="68"/>
      <c r="P869" s="68"/>
    </row>
    <row r="870">
      <c r="K870" s="68"/>
      <c r="L870" s="68"/>
      <c r="M870" s="68"/>
      <c r="N870" s="68"/>
      <c r="O870" s="68"/>
      <c r="P870" s="68"/>
    </row>
    <row r="871">
      <c r="K871" s="68"/>
      <c r="L871" s="68"/>
      <c r="M871" s="68"/>
      <c r="N871" s="68"/>
      <c r="O871" s="68"/>
      <c r="P871" s="68"/>
    </row>
    <row r="872">
      <c r="K872" s="68"/>
      <c r="L872" s="68"/>
      <c r="M872" s="68"/>
      <c r="N872" s="68"/>
      <c r="O872" s="68"/>
      <c r="P872" s="68"/>
    </row>
    <row r="873">
      <c r="K873" s="68"/>
      <c r="L873" s="68"/>
      <c r="M873" s="68"/>
      <c r="N873" s="68"/>
      <c r="O873" s="68"/>
      <c r="P873" s="68"/>
    </row>
    <row r="874">
      <c r="K874" s="68"/>
      <c r="L874" s="68"/>
      <c r="M874" s="68"/>
      <c r="N874" s="68"/>
      <c r="O874" s="68"/>
      <c r="P874" s="68"/>
    </row>
    <row r="875">
      <c r="K875" s="68"/>
      <c r="L875" s="68"/>
      <c r="M875" s="68"/>
      <c r="N875" s="68"/>
      <c r="O875" s="68"/>
      <c r="P875" s="68"/>
    </row>
    <row r="876">
      <c r="K876" s="68"/>
      <c r="L876" s="68"/>
      <c r="M876" s="68"/>
      <c r="N876" s="68"/>
      <c r="O876" s="68"/>
      <c r="P876" s="68"/>
    </row>
    <row r="877">
      <c r="K877" s="68"/>
      <c r="L877" s="68"/>
      <c r="M877" s="68"/>
      <c r="N877" s="68"/>
      <c r="O877" s="68"/>
      <c r="P877" s="68"/>
    </row>
    <row r="878">
      <c r="K878" s="68"/>
      <c r="L878" s="68"/>
      <c r="M878" s="68"/>
      <c r="N878" s="68"/>
      <c r="O878" s="68"/>
      <c r="P878" s="68"/>
    </row>
    <row r="879">
      <c r="K879" s="68"/>
      <c r="L879" s="68"/>
      <c r="M879" s="68"/>
      <c r="N879" s="68"/>
      <c r="O879" s="68"/>
      <c r="P879" s="68"/>
    </row>
    <row r="880">
      <c r="K880" s="68"/>
      <c r="L880" s="68"/>
      <c r="M880" s="68"/>
      <c r="N880" s="68"/>
      <c r="O880" s="68"/>
      <c r="P880" s="68"/>
    </row>
    <row r="881">
      <c r="K881" s="68"/>
      <c r="L881" s="68"/>
      <c r="M881" s="68"/>
      <c r="N881" s="68"/>
      <c r="O881" s="68"/>
      <c r="P881" s="68"/>
    </row>
    <row r="882">
      <c r="K882" s="68"/>
      <c r="L882" s="68"/>
      <c r="M882" s="68"/>
      <c r="N882" s="68"/>
      <c r="O882" s="68"/>
      <c r="P882" s="68"/>
    </row>
    <row r="883">
      <c r="K883" s="68"/>
      <c r="L883" s="68"/>
      <c r="M883" s="68"/>
      <c r="N883" s="68"/>
      <c r="O883" s="68"/>
      <c r="P883" s="68"/>
    </row>
    <row r="884">
      <c r="K884" s="68"/>
      <c r="L884" s="68"/>
      <c r="M884" s="68"/>
      <c r="N884" s="68"/>
      <c r="O884" s="68"/>
      <c r="P884" s="68"/>
    </row>
    <row r="885">
      <c r="K885" s="68"/>
      <c r="L885" s="68"/>
      <c r="M885" s="68"/>
      <c r="N885" s="68"/>
      <c r="O885" s="68"/>
      <c r="P885" s="68"/>
    </row>
    <row r="886">
      <c r="K886" s="68"/>
      <c r="L886" s="68"/>
      <c r="M886" s="68"/>
      <c r="N886" s="68"/>
      <c r="O886" s="68"/>
      <c r="P886" s="68"/>
    </row>
    <row r="887">
      <c r="K887" s="68"/>
      <c r="L887" s="68"/>
      <c r="M887" s="68"/>
      <c r="N887" s="68"/>
      <c r="O887" s="68"/>
      <c r="P887" s="68"/>
    </row>
    <row r="888">
      <c r="K888" s="68"/>
      <c r="L888" s="68"/>
      <c r="M888" s="68"/>
      <c r="N888" s="68"/>
      <c r="O888" s="68"/>
      <c r="P888" s="68"/>
    </row>
    <row r="889">
      <c r="K889" s="68"/>
      <c r="L889" s="68"/>
      <c r="M889" s="68"/>
      <c r="N889" s="68"/>
      <c r="O889" s="68"/>
      <c r="P889" s="68"/>
    </row>
    <row r="890">
      <c r="K890" s="68"/>
      <c r="L890" s="68"/>
      <c r="M890" s="68"/>
      <c r="N890" s="68"/>
      <c r="O890" s="68"/>
      <c r="P890" s="68"/>
    </row>
    <row r="891">
      <c r="K891" s="68"/>
      <c r="L891" s="68"/>
      <c r="M891" s="68"/>
      <c r="N891" s="68"/>
      <c r="O891" s="68"/>
      <c r="P891" s="68"/>
    </row>
    <row r="892">
      <c r="K892" s="68"/>
      <c r="L892" s="68"/>
      <c r="M892" s="68"/>
      <c r="N892" s="68"/>
      <c r="O892" s="68"/>
      <c r="P892" s="68"/>
    </row>
    <row r="893">
      <c r="K893" s="68"/>
      <c r="L893" s="68"/>
      <c r="M893" s="68"/>
      <c r="N893" s="68"/>
      <c r="O893" s="68"/>
      <c r="P893" s="68"/>
    </row>
    <row r="894">
      <c r="K894" s="68"/>
      <c r="L894" s="68"/>
      <c r="M894" s="68"/>
      <c r="N894" s="68"/>
      <c r="O894" s="68"/>
      <c r="P894" s="68"/>
    </row>
    <row r="895">
      <c r="K895" s="68"/>
      <c r="L895" s="68"/>
      <c r="M895" s="68"/>
      <c r="N895" s="68"/>
      <c r="O895" s="68"/>
      <c r="P895" s="68"/>
    </row>
    <row r="896">
      <c r="K896" s="68"/>
      <c r="L896" s="68"/>
      <c r="M896" s="68"/>
      <c r="N896" s="68"/>
      <c r="O896" s="68"/>
      <c r="P896" s="68"/>
    </row>
    <row r="897">
      <c r="K897" s="68"/>
      <c r="L897" s="68"/>
      <c r="M897" s="68"/>
      <c r="N897" s="68"/>
      <c r="O897" s="68"/>
      <c r="P897" s="68"/>
    </row>
    <row r="898">
      <c r="K898" s="68"/>
      <c r="L898" s="68"/>
      <c r="M898" s="68"/>
      <c r="N898" s="68"/>
      <c r="O898" s="68"/>
      <c r="P898" s="68"/>
    </row>
    <row r="899">
      <c r="K899" s="68"/>
      <c r="L899" s="68"/>
      <c r="M899" s="68"/>
      <c r="N899" s="68"/>
      <c r="O899" s="68"/>
      <c r="P899" s="68"/>
    </row>
    <row r="900">
      <c r="K900" s="68"/>
      <c r="L900" s="68"/>
      <c r="M900" s="68"/>
      <c r="N900" s="68"/>
      <c r="O900" s="68"/>
      <c r="P900" s="68"/>
    </row>
    <row r="901">
      <c r="K901" s="68"/>
      <c r="L901" s="68"/>
      <c r="M901" s="68"/>
      <c r="N901" s="68"/>
      <c r="O901" s="68"/>
      <c r="P901" s="68"/>
    </row>
    <row r="902">
      <c r="K902" s="68"/>
      <c r="L902" s="68"/>
      <c r="M902" s="68"/>
      <c r="N902" s="68"/>
      <c r="O902" s="68"/>
      <c r="P902" s="68"/>
    </row>
    <row r="903">
      <c r="K903" s="68"/>
      <c r="L903" s="68"/>
      <c r="M903" s="68"/>
      <c r="N903" s="68"/>
      <c r="O903" s="68"/>
      <c r="P903" s="68"/>
    </row>
    <row r="904">
      <c r="K904" s="68"/>
      <c r="L904" s="68"/>
      <c r="M904" s="68"/>
      <c r="N904" s="68"/>
      <c r="O904" s="68"/>
      <c r="P904" s="68"/>
    </row>
    <row r="905">
      <c r="K905" s="68"/>
      <c r="L905" s="68"/>
      <c r="M905" s="68"/>
      <c r="N905" s="68"/>
      <c r="O905" s="68"/>
      <c r="P905" s="68"/>
    </row>
    <row r="906">
      <c r="K906" s="68"/>
      <c r="L906" s="68"/>
      <c r="M906" s="68"/>
      <c r="N906" s="68"/>
      <c r="O906" s="68"/>
      <c r="P906" s="68"/>
    </row>
    <row r="907">
      <c r="K907" s="68"/>
      <c r="L907" s="68"/>
      <c r="M907" s="68"/>
      <c r="N907" s="68"/>
      <c r="O907" s="68"/>
      <c r="P907" s="68"/>
    </row>
    <row r="908">
      <c r="K908" s="68"/>
      <c r="L908" s="68"/>
      <c r="M908" s="68"/>
      <c r="N908" s="68"/>
      <c r="O908" s="68"/>
      <c r="P908" s="68"/>
    </row>
    <row r="909">
      <c r="K909" s="68"/>
      <c r="L909" s="68"/>
      <c r="M909" s="68"/>
      <c r="N909" s="68"/>
      <c r="O909" s="68"/>
      <c r="P909" s="68"/>
    </row>
    <row r="910">
      <c r="K910" s="68"/>
      <c r="L910" s="68"/>
      <c r="M910" s="68"/>
      <c r="N910" s="68"/>
      <c r="O910" s="68"/>
      <c r="P910" s="68"/>
    </row>
    <row r="911">
      <c r="K911" s="68"/>
      <c r="L911" s="68"/>
      <c r="M911" s="68"/>
      <c r="N911" s="68"/>
      <c r="O911" s="68"/>
      <c r="P911" s="68"/>
    </row>
    <row r="912">
      <c r="K912" s="68"/>
      <c r="L912" s="68"/>
      <c r="M912" s="68"/>
      <c r="N912" s="68"/>
      <c r="O912" s="68"/>
      <c r="P912" s="68"/>
    </row>
    <row r="913">
      <c r="K913" s="68"/>
      <c r="L913" s="68"/>
      <c r="M913" s="68"/>
      <c r="N913" s="68"/>
      <c r="O913" s="68"/>
      <c r="P913" s="68"/>
    </row>
    <row r="914">
      <c r="K914" s="68"/>
      <c r="L914" s="68"/>
      <c r="M914" s="68"/>
      <c r="N914" s="68"/>
      <c r="O914" s="68"/>
      <c r="P914" s="68"/>
    </row>
    <row r="915">
      <c r="K915" s="68"/>
      <c r="L915" s="68"/>
      <c r="M915" s="68"/>
      <c r="N915" s="68"/>
      <c r="O915" s="68"/>
      <c r="P915" s="68"/>
    </row>
    <row r="916">
      <c r="K916" s="68"/>
      <c r="L916" s="68"/>
      <c r="M916" s="68"/>
      <c r="N916" s="68"/>
      <c r="O916" s="68"/>
      <c r="P916" s="68"/>
    </row>
    <row r="917">
      <c r="K917" s="68"/>
      <c r="L917" s="68"/>
      <c r="M917" s="68"/>
      <c r="N917" s="68"/>
      <c r="O917" s="68"/>
      <c r="P917" s="68"/>
    </row>
    <row r="918">
      <c r="K918" s="68"/>
      <c r="L918" s="68"/>
      <c r="M918" s="68"/>
      <c r="N918" s="68"/>
      <c r="O918" s="68"/>
      <c r="P918" s="68"/>
    </row>
    <row r="919">
      <c r="K919" s="68"/>
      <c r="L919" s="68"/>
      <c r="M919" s="68"/>
      <c r="N919" s="68"/>
      <c r="O919" s="68"/>
      <c r="P919" s="68"/>
    </row>
    <row r="920">
      <c r="K920" s="68"/>
      <c r="L920" s="68"/>
      <c r="M920" s="68"/>
      <c r="N920" s="68"/>
      <c r="O920" s="68"/>
      <c r="P920" s="68"/>
    </row>
    <row r="921">
      <c r="K921" s="68"/>
      <c r="L921" s="68"/>
      <c r="M921" s="68"/>
      <c r="N921" s="68"/>
      <c r="O921" s="68"/>
      <c r="P921" s="68"/>
    </row>
    <row r="922">
      <c r="K922" s="68"/>
      <c r="L922" s="68"/>
      <c r="M922" s="68"/>
      <c r="N922" s="68"/>
      <c r="O922" s="68"/>
      <c r="P922" s="68"/>
    </row>
    <row r="923">
      <c r="K923" s="68"/>
      <c r="L923" s="68"/>
      <c r="M923" s="68"/>
      <c r="N923" s="68"/>
      <c r="O923" s="68"/>
      <c r="P923" s="68"/>
    </row>
    <row r="924">
      <c r="K924" s="68"/>
      <c r="L924" s="68"/>
      <c r="M924" s="68"/>
      <c r="N924" s="68"/>
      <c r="O924" s="68"/>
      <c r="P924" s="68"/>
    </row>
    <row r="925">
      <c r="K925" s="68"/>
      <c r="L925" s="68"/>
      <c r="M925" s="68"/>
      <c r="N925" s="68"/>
      <c r="O925" s="68"/>
      <c r="P925" s="68"/>
    </row>
    <row r="926">
      <c r="K926" s="68"/>
      <c r="L926" s="68"/>
      <c r="M926" s="68"/>
      <c r="N926" s="68"/>
      <c r="O926" s="68"/>
      <c r="P926" s="68"/>
    </row>
    <row r="927">
      <c r="K927" s="68"/>
      <c r="L927" s="68"/>
      <c r="M927" s="68"/>
      <c r="N927" s="68"/>
      <c r="O927" s="68"/>
      <c r="P927" s="68"/>
    </row>
    <row r="928">
      <c r="K928" s="68"/>
      <c r="L928" s="68"/>
      <c r="M928" s="68"/>
      <c r="N928" s="68"/>
      <c r="O928" s="68"/>
      <c r="P928" s="68"/>
    </row>
    <row r="929">
      <c r="K929" s="68"/>
      <c r="L929" s="68"/>
      <c r="M929" s="68"/>
      <c r="N929" s="68"/>
      <c r="O929" s="68"/>
      <c r="P929" s="68"/>
    </row>
    <row r="930">
      <c r="K930" s="68"/>
      <c r="L930" s="68"/>
      <c r="M930" s="68"/>
      <c r="N930" s="68"/>
      <c r="O930" s="68"/>
      <c r="P930" s="68"/>
    </row>
    <row r="931">
      <c r="K931" s="68"/>
      <c r="L931" s="68"/>
      <c r="M931" s="68"/>
      <c r="N931" s="68"/>
      <c r="O931" s="68"/>
      <c r="P931" s="68"/>
    </row>
    <row r="932">
      <c r="K932" s="68"/>
      <c r="L932" s="68"/>
      <c r="M932" s="68"/>
      <c r="N932" s="68"/>
      <c r="O932" s="68"/>
      <c r="P932" s="68"/>
    </row>
    <row r="933">
      <c r="K933" s="68"/>
      <c r="L933" s="68"/>
      <c r="M933" s="68"/>
      <c r="N933" s="68"/>
      <c r="O933" s="68"/>
      <c r="P933" s="68"/>
    </row>
    <row r="934">
      <c r="K934" s="68"/>
      <c r="L934" s="68"/>
      <c r="M934" s="68"/>
      <c r="N934" s="68"/>
      <c r="O934" s="68"/>
      <c r="P934" s="68"/>
    </row>
    <row r="935">
      <c r="K935" s="68"/>
      <c r="L935" s="68"/>
      <c r="M935" s="68"/>
      <c r="N935" s="68"/>
      <c r="O935" s="68"/>
      <c r="P935" s="68"/>
    </row>
    <row r="936">
      <c r="K936" s="68"/>
      <c r="L936" s="68"/>
      <c r="M936" s="68"/>
      <c r="N936" s="68"/>
      <c r="O936" s="68"/>
      <c r="P936" s="68"/>
    </row>
    <row r="937">
      <c r="K937" s="68"/>
      <c r="L937" s="68"/>
      <c r="M937" s="68"/>
      <c r="N937" s="68"/>
      <c r="O937" s="68"/>
      <c r="P937" s="68"/>
    </row>
    <row r="938">
      <c r="K938" s="68"/>
      <c r="L938" s="68"/>
      <c r="M938" s="68"/>
      <c r="N938" s="68"/>
      <c r="O938" s="68"/>
      <c r="P938" s="68"/>
    </row>
    <row r="939">
      <c r="K939" s="68"/>
      <c r="L939" s="68"/>
      <c r="M939" s="68"/>
      <c r="N939" s="68"/>
      <c r="O939" s="68"/>
      <c r="P939" s="68"/>
    </row>
    <row r="940">
      <c r="K940" s="68"/>
      <c r="L940" s="68"/>
      <c r="M940" s="68"/>
      <c r="N940" s="68"/>
      <c r="O940" s="68"/>
      <c r="P940" s="68"/>
    </row>
    <row r="941">
      <c r="K941" s="68"/>
      <c r="L941" s="68"/>
      <c r="M941" s="68"/>
      <c r="N941" s="68"/>
      <c r="O941" s="68"/>
      <c r="P941" s="68"/>
    </row>
    <row r="942">
      <c r="K942" s="68"/>
      <c r="L942" s="68"/>
      <c r="M942" s="68"/>
      <c r="N942" s="68"/>
      <c r="O942" s="68"/>
      <c r="P942" s="68"/>
    </row>
    <row r="943">
      <c r="K943" s="68"/>
      <c r="L943" s="68"/>
      <c r="M943" s="68"/>
      <c r="N943" s="68"/>
      <c r="O943" s="68"/>
      <c r="P943" s="68"/>
    </row>
    <row r="944">
      <c r="K944" s="68"/>
      <c r="L944" s="68"/>
      <c r="M944" s="68"/>
      <c r="N944" s="68"/>
      <c r="O944" s="68"/>
      <c r="P944" s="68"/>
    </row>
    <row r="945">
      <c r="K945" s="68"/>
      <c r="L945" s="68"/>
      <c r="M945" s="68"/>
      <c r="N945" s="68"/>
      <c r="O945" s="68"/>
      <c r="P945" s="68"/>
    </row>
    <row r="946">
      <c r="K946" s="68"/>
      <c r="L946" s="68"/>
      <c r="M946" s="68"/>
      <c r="N946" s="68"/>
      <c r="O946" s="68"/>
      <c r="P946" s="68"/>
    </row>
    <row r="947">
      <c r="K947" s="68"/>
      <c r="L947" s="68"/>
      <c r="M947" s="68"/>
      <c r="N947" s="68"/>
      <c r="O947" s="68"/>
      <c r="P947" s="68"/>
    </row>
    <row r="948">
      <c r="K948" s="68"/>
      <c r="L948" s="68"/>
      <c r="M948" s="68"/>
      <c r="N948" s="68"/>
      <c r="O948" s="68"/>
      <c r="P948" s="68"/>
    </row>
    <row r="949">
      <c r="K949" s="68"/>
      <c r="L949" s="68"/>
      <c r="M949" s="68"/>
      <c r="N949" s="68"/>
      <c r="O949" s="68"/>
      <c r="P949" s="68"/>
    </row>
    <row r="950">
      <c r="K950" s="68"/>
      <c r="L950" s="68"/>
      <c r="M950" s="68"/>
      <c r="N950" s="68"/>
      <c r="O950" s="68"/>
      <c r="P950" s="68"/>
    </row>
    <row r="951">
      <c r="K951" s="68"/>
      <c r="L951" s="68"/>
      <c r="M951" s="68"/>
      <c r="N951" s="68"/>
      <c r="O951" s="68"/>
      <c r="P951" s="68"/>
    </row>
    <row r="952">
      <c r="K952" s="68"/>
      <c r="L952" s="68"/>
      <c r="M952" s="68"/>
      <c r="N952" s="68"/>
      <c r="O952" s="68"/>
      <c r="P952" s="68"/>
    </row>
    <row r="953">
      <c r="K953" s="68"/>
      <c r="L953" s="68"/>
      <c r="M953" s="68"/>
      <c r="N953" s="68"/>
      <c r="O953" s="68"/>
      <c r="P953" s="68"/>
    </row>
    <row r="954">
      <c r="K954" s="68"/>
      <c r="L954" s="68"/>
      <c r="M954" s="68"/>
      <c r="N954" s="68"/>
      <c r="O954" s="68"/>
      <c r="P954" s="68"/>
    </row>
    <row r="955">
      <c r="K955" s="68"/>
      <c r="L955" s="68"/>
      <c r="M955" s="68"/>
      <c r="N955" s="68"/>
      <c r="O955" s="68"/>
      <c r="P955" s="68"/>
    </row>
    <row r="956">
      <c r="K956" s="68"/>
      <c r="L956" s="68"/>
      <c r="M956" s="68"/>
      <c r="N956" s="68"/>
      <c r="O956" s="68"/>
      <c r="P956" s="68"/>
    </row>
    <row r="957">
      <c r="K957" s="68"/>
      <c r="L957" s="68"/>
      <c r="M957" s="68"/>
      <c r="N957" s="68"/>
      <c r="O957" s="68"/>
      <c r="P957" s="68"/>
    </row>
    <row r="958">
      <c r="K958" s="68"/>
      <c r="L958" s="68"/>
      <c r="M958" s="68"/>
      <c r="N958" s="68"/>
      <c r="O958" s="68"/>
      <c r="P958" s="68"/>
    </row>
    <row r="959">
      <c r="K959" s="68"/>
      <c r="L959" s="68"/>
      <c r="M959" s="68"/>
      <c r="N959" s="68"/>
      <c r="O959" s="68"/>
      <c r="P959" s="68"/>
    </row>
    <row r="960">
      <c r="K960" s="68"/>
      <c r="L960" s="68"/>
      <c r="M960" s="68"/>
      <c r="N960" s="68"/>
      <c r="O960" s="68"/>
      <c r="P960" s="68"/>
    </row>
    <row r="961">
      <c r="K961" s="68"/>
      <c r="L961" s="68"/>
      <c r="M961" s="68"/>
      <c r="N961" s="68"/>
      <c r="O961" s="68"/>
      <c r="P961" s="68"/>
    </row>
    <row r="962">
      <c r="K962" s="68"/>
      <c r="L962" s="68"/>
      <c r="M962" s="68"/>
      <c r="N962" s="68"/>
      <c r="O962" s="68"/>
      <c r="P962" s="68"/>
    </row>
    <row r="963">
      <c r="K963" s="68"/>
      <c r="L963" s="68"/>
      <c r="M963" s="68"/>
      <c r="N963" s="68"/>
      <c r="O963" s="68"/>
      <c r="P963" s="68"/>
    </row>
    <row r="964">
      <c r="K964" s="68"/>
      <c r="L964" s="68"/>
      <c r="M964" s="68"/>
      <c r="N964" s="68"/>
      <c r="O964" s="68"/>
      <c r="P964" s="68"/>
    </row>
    <row r="965">
      <c r="K965" s="68"/>
      <c r="L965" s="68"/>
      <c r="M965" s="68"/>
      <c r="N965" s="68"/>
      <c r="O965" s="68"/>
      <c r="P965" s="68"/>
    </row>
    <row r="966">
      <c r="K966" s="68"/>
      <c r="L966" s="68"/>
      <c r="M966" s="68"/>
      <c r="N966" s="68"/>
      <c r="O966" s="68"/>
      <c r="P966" s="68"/>
    </row>
    <row r="967">
      <c r="K967" s="68"/>
      <c r="L967" s="68"/>
      <c r="M967" s="68"/>
      <c r="N967" s="68"/>
      <c r="O967" s="68"/>
      <c r="P967" s="68"/>
    </row>
    <row r="968">
      <c r="K968" s="68"/>
      <c r="L968" s="68"/>
      <c r="M968" s="68"/>
      <c r="N968" s="68"/>
      <c r="O968" s="68"/>
      <c r="P968" s="68"/>
    </row>
    <row r="969">
      <c r="K969" s="68"/>
      <c r="L969" s="68"/>
      <c r="M969" s="68"/>
      <c r="N969" s="68"/>
      <c r="O969" s="68"/>
      <c r="P969" s="68"/>
    </row>
    <row r="970">
      <c r="K970" s="68"/>
      <c r="L970" s="68"/>
      <c r="M970" s="68"/>
      <c r="N970" s="68"/>
      <c r="O970" s="68"/>
      <c r="P970" s="68"/>
    </row>
    <row r="971">
      <c r="K971" s="68"/>
      <c r="L971" s="68"/>
      <c r="M971" s="68"/>
      <c r="N971" s="68"/>
      <c r="O971" s="68"/>
      <c r="P971" s="68"/>
    </row>
    <row r="972">
      <c r="K972" s="68"/>
      <c r="L972" s="68"/>
      <c r="M972" s="68"/>
      <c r="N972" s="68"/>
      <c r="O972" s="68"/>
      <c r="P972" s="68"/>
    </row>
    <row r="973">
      <c r="K973" s="68"/>
      <c r="L973" s="68"/>
      <c r="M973" s="68"/>
      <c r="N973" s="68"/>
      <c r="O973" s="68"/>
      <c r="P973" s="68"/>
    </row>
    <row r="974">
      <c r="K974" s="68"/>
      <c r="L974" s="68"/>
      <c r="M974" s="68"/>
      <c r="N974" s="68"/>
      <c r="O974" s="68"/>
      <c r="P974" s="68"/>
    </row>
    <row r="975">
      <c r="K975" s="68"/>
      <c r="L975" s="68"/>
      <c r="M975" s="68"/>
      <c r="N975" s="68"/>
      <c r="O975" s="68"/>
      <c r="P975" s="68"/>
    </row>
    <row r="976">
      <c r="K976" s="68"/>
      <c r="L976" s="68"/>
      <c r="M976" s="68"/>
      <c r="N976" s="68"/>
      <c r="O976" s="68"/>
      <c r="P976" s="68"/>
    </row>
    <row r="977">
      <c r="K977" s="68"/>
      <c r="L977" s="68"/>
      <c r="M977" s="68"/>
      <c r="N977" s="68"/>
      <c r="O977" s="68"/>
      <c r="P977" s="68"/>
    </row>
    <row r="978">
      <c r="K978" s="68"/>
      <c r="L978" s="68"/>
      <c r="M978" s="68"/>
      <c r="N978" s="68"/>
      <c r="O978" s="68"/>
      <c r="P978" s="68"/>
    </row>
    <row r="979">
      <c r="K979" s="68"/>
      <c r="L979" s="68"/>
      <c r="M979" s="68"/>
      <c r="N979" s="68"/>
      <c r="O979" s="68"/>
      <c r="P979" s="68"/>
    </row>
    <row r="980">
      <c r="K980" s="68"/>
      <c r="L980" s="68"/>
      <c r="M980" s="68"/>
      <c r="N980" s="68"/>
      <c r="O980" s="68"/>
      <c r="P980" s="68"/>
    </row>
    <row r="981">
      <c r="K981" s="68"/>
      <c r="L981" s="68"/>
      <c r="M981" s="68"/>
      <c r="N981" s="68"/>
      <c r="O981" s="68"/>
      <c r="P981" s="68"/>
    </row>
    <row r="982">
      <c r="K982" s="68"/>
      <c r="L982" s="68"/>
      <c r="M982" s="68"/>
      <c r="N982" s="68"/>
      <c r="O982" s="68"/>
      <c r="P982" s="68"/>
    </row>
    <row r="983">
      <c r="K983" s="68"/>
      <c r="L983" s="68"/>
      <c r="M983" s="68"/>
      <c r="N983" s="68"/>
      <c r="O983" s="68"/>
      <c r="P983" s="68"/>
    </row>
    <row r="984">
      <c r="K984" s="68"/>
      <c r="L984" s="68"/>
      <c r="M984" s="68"/>
      <c r="N984" s="68"/>
      <c r="O984" s="68"/>
      <c r="P984" s="68"/>
    </row>
    <row r="985">
      <c r="K985" s="68"/>
      <c r="L985" s="68"/>
      <c r="M985" s="68"/>
      <c r="N985" s="68"/>
      <c r="O985" s="68"/>
      <c r="P985" s="68"/>
    </row>
    <row r="986">
      <c r="K986" s="68"/>
      <c r="L986" s="68"/>
      <c r="M986" s="68"/>
      <c r="N986" s="68"/>
      <c r="O986" s="68"/>
      <c r="P986" s="68"/>
    </row>
    <row r="987">
      <c r="K987" s="68"/>
      <c r="L987" s="68"/>
      <c r="M987" s="68"/>
      <c r="N987" s="68"/>
      <c r="O987" s="68"/>
      <c r="P987" s="68"/>
    </row>
    <row r="988">
      <c r="K988" s="68"/>
      <c r="L988" s="68"/>
      <c r="M988" s="68"/>
      <c r="N988" s="68"/>
      <c r="O988" s="68"/>
      <c r="P988" s="68"/>
    </row>
    <row r="989">
      <c r="K989" s="68"/>
      <c r="L989" s="68"/>
      <c r="M989" s="68"/>
      <c r="N989" s="68"/>
      <c r="O989" s="68"/>
      <c r="P989" s="68"/>
    </row>
    <row r="990">
      <c r="K990" s="68"/>
      <c r="L990" s="68"/>
      <c r="M990" s="68"/>
      <c r="N990" s="68"/>
      <c r="O990" s="68"/>
      <c r="P990" s="68"/>
    </row>
    <row r="991">
      <c r="K991" s="68"/>
      <c r="L991" s="68"/>
      <c r="M991" s="68"/>
      <c r="N991" s="68"/>
      <c r="O991" s="68"/>
      <c r="P991" s="68"/>
    </row>
    <row r="992">
      <c r="K992" s="68"/>
      <c r="L992" s="68"/>
      <c r="M992" s="68"/>
      <c r="N992" s="68"/>
      <c r="O992" s="68"/>
      <c r="P992" s="68"/>
    </row>
    <row r="993">
      <c r="K993" s="68"/>
      <c r="L993" s="68"/>
      <c r="M993" s="68"/>
      <c r="N993" s="68"/>
      <c r="O993" s="68"/>
      <c r="P993" s="68"/>
    </row>
    <row r="994">
      <c r="K994" s="68"/>
      <c r="L994" s="68"/>
      <c r="M994" s="68"/>
      <c r="N994" s="68"/>
      <c r="O994" s="68"/>
      <c r="P994" s="68"/>
    </row>
    <row r="995">
      <c r="K995" s="68"/>
      <c r="L995" s="68"/>
      <c r="M995" s="68"/>
      <c r="N995" s="68"/>
      <c r="O995" s="68"/>
      <c r="P995" s="68"/>
    </row>
    <row r="996">
      <c r="K996" s="68"/>
      <c r="L996" s="68"/>
      <c r="M996" s="68"/>
      <c r="N996" s="68"/>
      <c r="O996" s="68"/>
      <c r="P996" s="68"/>
    </row>
    <row r="997">
      <c r="K997" s="68"/>
      <c r="L997" s="68"/>
      <c r="M997" s="68"/>
      <c r="N997" s="68"/>
      <c r="O997" s="68"/>
      <c r="P997" s="68"/>
    </row>
    <row r="998">
      <c r="K998" s="68"/>
      <c r="L998" s="68"/>
      <c r="M998" s="68"/>
      <c r="N998" s="68"/>
      <c r="O998" s="68"/>
      <c r="P998" s="68"/>
    </row>
    <row r="999">
      <c r="K999" s="68"/>
      <c r="L999" s="68"/>
      <c r="M999" s="68"/>
      <c r="N999" s="68"/>
      <c r="O999" s="68"/>
      <c r="P999" s="68"/>
    </row>
    <row r="1000">
      <c r="K1000" s="68"/>
      <c r="L1000" s="68"/>
      <c r="M1000" s="68"/>
      <c r="N1000" s="68"/>
      <c r="O1000" s="68"/>
      <c r="P1000" s="68"/>
    </row>
  </sheetData>
  <printOptions gridLines="1" horizontalCentered="1"/>
  <pageMargins bottom="0.75" footer="0.0" header="0.0" left="0.7" right="0.7" top="0.75"/>
  <pageSetup paperSize="5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63"/>
  </cols>
  <sheetData>
    <row r="1">
      <c r="A1" s="2" t="s">
        <v>1</v>
      </c>
      <c r="B1" s="1"/>
      <c r="D1" s="3" t="s">
        <v>2</v>
      </c>
      <c r="E1" s="3" t="s">
        <v>3</v>
      </c>
      <c r="F1" s="3" t="s">
        <v>5</v>
      </c>
      <c r="G1" s="3" t="s">
        <v>6</v>
      </c>
      <c r="H1" s="3" t="s">
        <v>7</v>
      </c>
      <c r="I1" s="6" t="s">
        <v>9</v>
      </c>
      <c r="K1" s="10" t="s">
        <v>455</v>
      </c>
      <c r="L1" s="10"/>
      <c r="M1" s="10"/>
      <c r="N1" s="10"/>
      <c r="O1" s="10"/>
      <c r="P1" s="10"/>
      <c r="Q1" s="10"/>
      <c r="R1" s="10"/>
      <c r="S1" s="10"/>
    </row>
    <row r="2">
      <c r="A2" s="1" t="s">
        <v>21</v>
      </c>
      <c r="B2" s="2" t="s">
        <v>448</v>
      </c>
      <c r="D2" s="12"/>
      <c r="E2" s="12"/>
      <c r="F2" s="12"/>
      <c r="G2" s="12"/>
      <c r="H2" s="12"/>
      <c r="I2" s="12"/>
      <c r="K2" s="6" t="s">
        <v>8</v>
      </c>
      <c r="L2" s="6" t="s">
        <v>27</v>
      </c>
      <c r="M2" s="6" t="s">
        <v>28</v>
      </c>
      <c r="N2" s="6" t="s">
        <v>30</v>
      </c>
      <c r="O2" s="6" t="s">
        <v>25</v>
      </c>
      <c r="P2" s="6" t="s">
        <v>24</v>
      </c>
      <c r="Q2" s="6" t="s">
        <v>36</v>
      </c>
      <c r="R2" s="6" t="s">
        <v>35</v>
      </c>
      <c r="S2" s="6" t="s">
        <v>33</v>
      </c>
    </row>
    <row r="3">
      <c r="A3" s="1" t="s">
        <v>40</v>
      </c>
      <c r="B3" s="2" t="s">
        <v>102</v>
      </c>
      <c r="D3" s="12"/>
      <c r="E3" s="12"/>
      <c r="F3" s="12"/>
      <c r="G3" s="12"/>
      <c r="H3" s="12"/>
      <c r="I3" s="12"/>
      <c r="K3" s="13"/>
      <c r="L3" s="21"/>
      <c r="M3" s="19"/>
      <c r="N3" s="19"/>
      <c r="O3" s="19"/>
      <c r="P3" s="19"/>
      <c r="Q3" s="19"/>
      <c r="R3" s="19"/>
      <c r="S3" s="19"/>
    </row>
    <row r="4">
      <c r="A4" s="1" t="s">
        <v>50</v>
      </c>
      <c r="B4" s="2" t="s">
        <v>456</v>
      </c>
      <c r="D4" s="12"/>
      <c r="E4" s="12"/>
      <c r="F4" s="12"/>
      <c r="G4" s="12"/>
      <c r="H4" s="12"/>
      <c r="I4" s="12"/>
      <c r="K4" s="13"/>
      <c r="L4" s="21"/>
      <c r="M4" s="19"/>
      <c r="N4" s="19">
        <f>N3+M4</f>
        <v>0</v>
      </c>
      <c r="O4" s="27"/>
      <c r="P4" s="27"/>
      <c r="Q4" s="27"/>
      <c r="R4" s="19"/>
      <c r="S4" s="19"/>
    </row>
    <row r="5">
      <c r="A5" s="1" t="s">
        <v>66</v>
      </c>
      <c r="B5" s="2" t="s">
        <v>458</v>
      </c>
      <c r="D5" s="12"/>
      <c r="E5" s="12"/>
      <c r="F5" s="12"/>
      <c r="G5" s="12"/>
      <c r="H5" s="12"/>
      <c r="I5" s="12"/>
      <c r="K5" s="13"/>
      <c r="L5" s="21"/>
      <c r="M5" s="19"/>
      <c r="N5" s="19"/>
      <c r="O5" s="27"/>
      <c r="P5" s="27"/>
      <c r="Q5" s="27"/>
      <c r="R5" s="19"/>
      <c r="S5" s="19"/>
    </row>
    <row r="6">
      <c r="A6" s="1" t="s">
        <v>70</v>
      </c>
      <c r="B6" s="2" t="s">
        <v>459</v>
      </c>
      <c r="D6" s="12"/>
      <c r="E6" s="12"/>
      <c r="F6" s="12"/>
      <c r="G6" s="12"/>
      <c r="H6" s="12"/>
      <c r="I6" s="12"/>
      <c r="K6" s="13"/>
      <c r="L6" s="21"/>
      <c r="M6" s="19"/>
      <c r="N6" s="19"/>
      <c r="O6" s="27"/>
      <c r="P6" s="27"/>
      <c r="Q6" s="27"/>
      <c r="R6" s="19"/>
      <c r="S6" s="19"/>
    </row>
    <row r="7">
      <c r="K7" s="13"/>
      <c r="L7" s="21"/>
      <c r="M7" s="19"/>
      <c r="N7" s="19"/>
      <c r="O7" s="27"/>
      <c r="P7" s="27"/>
      <c r="Q7" s="27"/>
      <c r="R7" s="19"/>
      <c r="S7" s="19"/>
    </row>
    <row r="8">
      <c r="A8" s="6" t="s">
        <v>8</v>
      </c>
      <c r="B8" s="6" t="s">
        <v>84</v>
      </c>
      <c r="C8" s="6" t="s">
        <v>25</v>
      </c>
      <c r="D8" s="6" t="s">
        <v>86</v>
      </c>
      <c r="E8" s="6" t="s">
        <v>87</v>
      </c>
      <c r="G8" s="6" t="s">
        <v>8</v>
      </c>
      <c r="H8" s="6" t="s">
        <v>13</v>
      </c>
      <c r="I8" s="6" t="s">
        <v>88</v>
      </c>
      <c r="K8" s="13"/>
      <c r="L8" s="21"/>
      <c r="M8" s="19"/>
      <c r="N8" s="19"/>
      <c r="O8" s="27"/>
      <c r="P8" s="27"/>
      <c r="Q8" s="27"/>
      <c r="R8" s="19"/>
      <c r="S8" s="19"/>
    </row>
    <row r="9">
      <c r="A9" s="12"/>
      <c r="B9" s="12"/>
      <c r="C9" s="12"/>
      <c r="D9" s="12"/>
      <c r="E9" s="12"/>
      <c r="G9" s="12"/>
      <c r="H9" s="12"/>
      <c r="I9" s="12"/>
      <c r="K9" s="13"/>
      <c r="L9" s="21"/>
      <c r="M9" s="19"/>
      <c r="N9" s="19"/>
      <c r="O9" s="27"/>
      <c r="P9" s="27"/>
      <c r="Q9" s="27"/>
      <c r="R9" s="19"/>
      <c r="S9" s="19"/>
    </row>
    <row r="10">
      <c r="A10" s="12"/>
      <c r="B10" s="12"/>
      <c r="C10" s="12"/>
      <c r="D10" s="12"/>
      <c r="E10" s="12"/>
      <c r="G10" s="12"/>
      <c r="H10" s="12"/>
      <c r="I10" s="12"/>
      <c r="K10" s="13"/>
      <c r="L10" s="21"/>
      <c r="M10" s="19"/>
      <c r="N10" s="19"/>
      <c r="O10" s="27"/>
      <c r="P10" s="27"/>
      <c r="Q10" s="27"/>
      <c r="R10" s="19"/>
      <c r="S10" s="19"/>
    </row>
    <row r="11">
      <c r="A11" s="12"/>
      <c r="B11" s="12"/>
      <c r="C11" s="12"/>
      <c r="D11" s="12"/>
      <c r="E11" s="12"/>
      <c r="G11" s="12"/>
      <c r="H11" s="12"/>
      <c r="I11" s="12"/>
      <c r="K11" s="13"/>
      <c r="L11" s="21"/>
      <c r="M11" s="19"/>
      <c r="N11" s="19"/>
      <c r="O11" s="27"/>
      <c r="P11" s="27"/>
      <c r="Q11" s="27"/>
      <c r="R11" s="19"/>
      <c r="S11" s="19"/>
    </row>
    <row r="12">
      <c r="A12" s="12"/>
      <c r="B12" s="12"/>
      <c r="C12" s="12"/>
      <c r="D12" s="12"/>
      <c r="E12" s="12"/>
      <c r="G12" s="12"/>
      <c r="H12" s="12"/>
      <c r="I12" s="12"/>
      <c r="K12" s="13"/>
      <c r="L12" s="21"/>
      <c r="M12" s="19"/>
      <c r="N12" s="19"/>
      <c r="O12" s="27"/>
      <c r="P12" s="27"/>
      <c r="Q12" s="27"/>
      <c r="R12" s="19"/>
      <c r="S12" s="19"/>
    </row>
    <row r="13">
      <c r="A13" s="12"/>
      <c r="B13" s="12"/>
      <c r="C13" s="12"/>
      <c r="D13" s="12"/>
      <c r="E13" s="12"/>
      <c r="G13" s="12"/>
      <c r="H13" s="12"/>
      <c r="I13" s="12"/>
      <c r="K13" s="13"/>
      <c r="L13" s="21"/>
      <c r="M13" s="19"/>
      <c r="N13" s="19"/>
      <c r="O13" s="27"/>
      <c r="P13" s="27"/>
      <c r="Q13" s="27"/>
      <c r="R13" s="19"/>
      <c r="S13" s="19"/>
    </row>
    <row r="14">
      <c r="A14" s="12"/>
      <c r="B14" s="12"/>
      <c r="C14" s="12"/>
      <c r="D14" s="12"/>
      <c r="E14" s="12"/>
      <c r="G14" s="12"/>
      <c r="H14" s="12"/>
      <c r="I14" s="12"/>
      <c r="K14" s="13"/>
      <c r="L14" s="21"/>
      <c r="M14" s="19"/>
      <c r="N14" s="19"/>
      <c r="O14" s="27"/>
      <c r="P14" s="27"/>
      <c r="Q14" s="27"/>
      <c r="R14" s="19"/>
      <c r="S14" s="19"/>
    </row>
    <row r="15">
      <c r="A15" s="12"/>
      <c r="B15" s="12"/>
      <c r="C15" s="12"/>
      <c r="D15" s="12"/>
      <c r="E15" s="12"/>
      <c r="G15" s="12"/>
      <c r="H15" s="12"/>
      <c r="I15" s="12"/>
      <c r="K15" s="13"/>
      <c r="L15" s="21"/>
      <c r="M15" s="19"/>
      <c r="N15" s="19"/>
      <c r="O15" s="27"/>
      <c r="P15" s="27"/>
      <c r="Q15" s="27"/>
      <c r="R15" s="19"/>
      <c r="S15" s="19"/>
    </row>
    <row r="16">
      <c r="A16" s="12"/>
      <c r="B16" s="12"/>
      <c r="C16" s="12"/>
      <c r="D16" s="12"/>
      <c r="E16" s="12"/>
      <c r="G16" s="12"/>
      <c r="H16" s="12"/>
      <c r="I16" s="12"/>
      <c r="K16" s="13"/>
      <c r="L16" s="21"/>
      <c r="M16" s="19"/>
      <c r="N16" s="19"/>
      <c r="O16" s="27"/>
      <c r="P16" s="27"/>
      <c r="Q16" s="27"/>
      <c r="R16" s="19"/>
      <c r="S16" s="19"/>
    </row>
    <row r="17">
      <c r="A17" s="12"/>
      <c r="B17" s="12"/>
      <c r="C17" s="12"/>
      <c r="D17" s="12"/>
      <c r="E17" s="12"/>
      <c r="G17" s="12"/>
      <c r="H17" s="12"/>
      <c r="I17" s="12"/>
      <c r="K17" s="13"/>
      <c r="L17" s="21"/>
      <c r="M17" s="19"/>
      <c r="N17" s="19"/>
      <c r="O17" s="27"/>
      <c r="P17" s="27"/>
      <c r="Q17" s="27"/>
      <c r="R17" s="19"/>
      <c r="S17" s="19"/>
    </row>
    <row r="18">
      <c r="A18" s="12"/>
      <c r="B18" s="12"/>
      <c r="C18" s="12"/>
      <c r="D18" s="12"/>
      <c r="E18" s="12"/>
      <c r="G18" s="12"/>
      <c r="H18" s="12"/>
      <c r="I18" s="12"/>
      <c r="K18" s="13"/>
      <c r="L18" s="21"/>
      <c r="M18" s="19"/>
      <c r="N18" s="19"/>
      <c r="O18" s="27"/>
      <c r="P18" s="27"/>
      <c r="Q18" s="27"/>
      <c r="R18" s="19"/>
      <c r="S18" s="19"/>
    </row>
    <row r="19">
      <c r="A19" s="12"/>
      <c r="B19" s="12"/>
      <c r="C19" s="12"/>
      <c r="D19" s="12"/>
      <c r="E19" s="12"/>
      <c r="G19" s="12"/>
      <c r="H19" s="12"/>
      <c r="I19" s="12"/>
      <c r="K19" s="13"/>
      <c r="L19" s="21"/>
      <c r="M19" s="19"/>
      <c r="N19" s="19"/>
      <c r="O19" s="27"/>
      <c r="P19" s="27"/>
      <c r="Q19" s="27"/>
      <c r="R19" s="19"/>
      <c r="S19" s="19"/>
    </row>
    <row r="20">
      <c r="A20" s="12"/>
      <c r="B20" s="12"/>
      <c r="C20" s="12"/>
      <c r="D20" s="12"/>
      <c r="E20" s="12"/>
      <c r="G20" s="12"/>
      <c r="H20" s="12"/>
      <c r="I20" s="12"/>
      <c r="K20" s="13"/>
      <c r="L20" s="21"/>
      <c r="M20" s="19"/>
      <c r="N20" s="19"/>
      <c r="O20" s="27"/>
      <c r="P20" s="27"/>
      <c r="Q20" s="27"/>
      <c r="R20" s="19"/>
      <c r="S20" s="19"/>
    </row>
    <row r="21">
      <c r="A21" s="12"/>
      <c r="B21" s="12"/>
      <c r="C21" s="12"/>
      <c r="D21" s="12"/>
      <c r="E21" s="12"/>
      <c r="G21" s="12"/>
      <c r="H21" s="12"/>
      <c r="I21" s="12"/>
      <c r="K21" s="13"/>
      <c r="L21" s="21"/>
      <c r="M21" s="19"/>
      <c r="N21" s="19"/>
      <c r="O21" s="27"/>
      <c r="P21" s="27"/>
      <c r="Q21" s="27"/>
      <c r="R21" s="19"/>
      <c r="S21" s="19"/>
    </row>
    <row r="22">
      <c r="A22" s="12"/>
      <c r="B22" s="12"/>
      <c r="C22" s="12"/>
      <c r="D22" s="12"/>
      <c r="E22" s="12"/>
      <c r="G22" s="12"/>
      <c r="H22" s="12"/>
      <c r="I22" s="12"/>
      <c r="K22" s="13"/>
      <c r="L22" s="21"/>
      <c r="M22" s="19"/>
      <c r="N22" s="19"/>
      <c r="O22" s="27"/>
      <c r="P22" s="27"/>
      <c r="Q22" s="27"/>
      <c r="R22" s="19"/>
      <c r="S22" s="19"/>
    </row>
    <row r="23">
      <c r="A23" s="12"/>
      <c r="B23" s="12"/>
      <c r="C23" s="12"/>
      <c r="D23" s="12"/>
      <c r="E23" s="12"/>
      <c r="G23" s="12"/>
      <c r="H23" s="12"/>
      <c r="I23" s="12"/>
      <c r="K23" s="13"/>
      <c r="L23" s="21"/>
      <c r="M23" s="19"/>
      <c r="N23" s="19"/>
      <c r="O23" s="27"/>
      <c r="P23" s="27"/>
      <c r="Q23" s="27"/>
      <c r="R23" s="19"/>
      <c r="S23" s="19"/>
    </row>
    <row r="24">
      <c r="A24" s="12"/>
      <c r="B24" s="12"/>
      <c r="C24" s="12"/>
      <c r="D24" s="12"/>
      <c r="E24" s="12"/>
      <c r="G24" s="12"/>
      <c r="H24" s="12"/>
      <c r="I24" s="12"/>
      <c r="K24" s="13"/>
      <c r="L24" s="21"/>
      <c r="M24" s="19"/>
      <c r="N24" s="19"/>
      <c r="O24" s="27"/>
      <c r="P24" s="27"/>
      <c r="Q24" s="27"/>
      <c r="R24" s="19"/>
      <c r="S24" s="19"/>
    </row>
    <row r="25">
      <c r="A25" s="12"/>
      <c r="B25" s="12"/>
      <c r="C25" s="12"/>
      <c r="D25" s="12"/>
      <c r="E25" s="12"/>
      <c r="G25" s="12"/>
      <c r="H25" s="12"/>
      <c r="I25" s="12"/>
      <c r="K25" s="13"/>
      <c r="L25" s="21"/>
      <c r="M25" s="19"/>
      <c r="N25" s="19"/>
      <c r="O25" s="27"/>
      <c r="P25" s="27"/>
      <c r="Q25" s="27"/>
      <c r="R25" s="19"/>
      <c r="S25" s="19"/>
    </row>
    <row r="26">
      <c r="A26" s="12"/>
      <c r="B26" s="12"/>
      <c r="C26" s="12"/>
      <c r="D26" s="12"/>
      <c r="E26" s="12"/>
      <c r="G26" s="12"/>
      <c r="H26" s="12"/>
      <c r="I26" s="12"/>
      <c r="K26" s="13"/>
      <c r="L26" s="21"/>
      <c r="M26" s="19"/>
      <c r="N26" s="19"/>
      <c r="O26" s="27"/>
      <c r="P26" s="27"/>
      <c r="Q26" s="27"/>
      <c r="R26" s="19"/>
      <c r="S26" s="19"/>
    </row>
    <row r="27">
      <c r="A27" s="12"/>
      <c r="B27" s="12"/>
      <c r="C27" s="12"/>
      <c r="D27" s="12"/>
      <c r="E27" s="12"/>
      <c r="G27" s="12"/>
      <c r="H27" s="12"/>
      <c r="I27" s="12"/>
      <c r="K27" s="13"/>
      <c r="L27" s="21"/>
      <c r="M27" s="19"/>
      <c r="N27" s="19"/>
      <c r="O27" s="27"/>
      <c r="P27" s="27"/>
      <c r="Q27" s="27"/>
      <c r="R27" s="19"/>
      <c r="S27" s="19"/>
    </row>
    <row r="28">
      <c r="A28" s="12"/>
      <c r="B28" s="12"/>
      <c r="C28" s="12"/>
      <c r="D28" s="12"/>
      <c r="E28" s="12"/>
      <c r="G28" s="12"/>
      <c r="H28" s="12"/>
      <c r="I28" s="12"/>
      <c r="K28" s="13"/>
      <c r="L28" s="21"/>
      <c r="M28" s="19"/>
      <c r="N28" s="19"/>
      <c r="O28" s="19"/>
      <c r="P28" s="27"/>
      <c r="Q28" s="27"/>
      <c r="R28" s="19"/>
      <c r="S28" s="19"/>
    </row>
    <row r="29">
      <c r="K29" s="13"/>
      <c r="L29" s="21"/>
      <c r="M29" s="19"/>
      <c r="N29" s="19"/>
      <c r="O29" s="27"/>
      <c r="P29" s="27"/>
      <c r="Q29" s="27"/>
      <c r="R29" s="19"/>
      <c r="S29" s="19"/>
    </row>
    <row r="30">
      <c r="K30" s="13"/>
      <c r="L30" s="21"/>
      <c r="M30" s="19"/>
      <c r="N30" s="19"/>
      <c r="O30" s="27"/>
      <c r="P30" s="27"/>
      <c r="Q30" s="27"/>
      <c r="R30" s="19"/>
      <c r="S30" s="19"/>
    </row>
    <row r="31">
      <c r="K31" s="13"/>
      <c r="L31" s="21"/>
      <c r="M31" s="19"/>
      <c r="N31" s="19"/>
      <c r="O31" s="27"/>
      <c r="P31" s="27"/>
      <c r="Q31" s="27"/>
      <c r="R31" s="19"/>
      <c r="S31" s="19"/>
    </row>
    <row r="32">
      <c r="K32" s="13"/>
      <c r="L32" s="21"/>
      <c r="M32" s="19"/>
      <c r="N32" s="19"/>
      <c r="O32" s="27"/>
      <c r="P32" s="27"/>
      <c r="Q32" s="27"/>
      <c r="R32" s="19"/>
      <c r="S32" s="19"/>
    </row>
    <row r="33">
      <c r="K33" s="13"/>
      <c r="L33" s="21"/>
      <c r="M33" s="19"/>
      <c r="N33" s="19"/>
      <c r="O33" s="27"/>
      <c r="P33" s="27"/>
      <c r="Q33" s="27"/>
      <c r="R33" s="19"/>
      <c r="S33" s="19"/>
    </row>
    <row r="34">
      <c r="K34" s="13"/>
      <c r="L34" s="21"/>
      <c r="M34" s="19"/>
      <c r="N34" s="19"/>
      <c r="O34" s="27"/>
      <c r="P34" s="27"/>
      <c r="Q34" s="27"/>
      <c r="R34" s="19"/>
      <c r="S34" s="19"/>
    </row>
    <row r="35">
      <c r="K35" s="13"/>
      <c r="L35" s="21"/>
      <c r="M35" s="19"/>
      <c r="N35" s="19"/>
      <c r="O35" s="27"/>
      <c r="P35" s="27"/>
      <c r="Q35" s="27"/>
      <c r="R35" s="19"/>
      <c r="S35" s="19"/>
    </row>
    <row r="36">
      <c r="K36" s="13"/>
      <c r="L36" s="21"/>
      <c r="M36" s="19"/>
      <c r="N36" s="19"/>
      <c r="O36" s="27"/>
      <c r="P36" s="27"/>
      <c r="Q36" s="27"/>
      <c r="R36" s="19"/>
      <c r="S36" s="19"/>
    </row>
    <row r="37">
      <c r="K37" s="13"/>
      <c r="L37" s="21"/>
      <c r="M37" s="19"/>
      <c r="N37" s="19"/>
      <c r="O37" s="27"/>
      <c r="P37" s="27"/>
      <c r="Q37" s="27"/>
      <c r="R37" s="19"/>
      <c r="S37" s="19"/>
    </row>
    <row r="38">
      <c r="K38" s="13"/>
      <c r="L38" s="21"/>
      <c r="M38" s="19"/>
      <c r="N38" s="19"/>
      <c r="O38" s="27"/>
      <c r="P38" s="27"/>
      <c r="Q38" s="27"/>
      <c r="R38" s="19"/>
      <c r="S38" s="19"/>
    </row>
    <row r="39">
      <c r="K39" s="13"/>
      <c r="L39" s="21"/>
      <c r="M39" s="19"/>
      <c r="N39" s="19"/>
      <c r="O39" s="27"/>
      <c r="P39" s="27"/>
      <c r="Q39" s="27"/>
      <c r="R39" s="27"/>
      <c r="S39" s="27"/>
    </row>
    <row r="40">
      <c r="K40" s="13"/>
      <c r="L40" s="21"/>
      <c r="M40" s="19"/>
      <c r="N40" s="19"/>
      <c r="O40" s="27"/>
      <c r="P40" s="27"/>
      <c r="Q40" s="27"/>
      <c r="R40" s="27"/>
      <c r="S40" s="27"/>
    </row>
    <row r="41">
      <c r="K41" s="13"/>
      <c r="L41" s="21"/>
      <c r="M41" s="19"/>
      <c r="N41" s="19"/>
      <c r="O41" s="27"/>
      <c r="P41" s="27"/>
      <c r="Q41" s="27"/>
      <c r="R41" s="27"/>
      <c r="S41" s="27"/>
    </row>
    <row r="42">
      <c r="K42" s="13"/>
      <c r="L42" s="21"/>
      <c r="M42" s="19"/>
      <c r="N42" s="19"/>
      <c r="O42" s="27"/>
      <c r="P42" s="27"/>
      <c r="Q42" s="27"/>
      <c r="R42" s="27"/>
      <c r="S42" s="27"/>
    </row>
    <row r="43">
      <c r="K43" s="13"/>
      <c r="L43" s="21"/>
      <c r="M43" s="19"/>
      <c r="N43" s="19"/>
      <c r="O43" s="27"/>
      <c r="P43" s="27"/>
      <c r="Q43" s="27"/>
      <c r="R43" s="27"/>
      <c r="S43" s="27"/>
    </row>
    <row r="44">
      <c r="K44" s="13"/>
      <c r="L44" s="21"/>
      <c r="M44" s="19"/>
      <c r="N44" s="19"/>
      <c r="O44" s="27"/>
      <c r="P44" s="27"/>
      <c r="Q44" s="27"/>
      <c r="R44" s="27"/>
      <c r="S44" s="27"/>
    </row>
    <row r="45">
      <c r="K45" s="13"/>
      <c r="L45" s="21"/>
      <c r="M45" s="19"/>
      <c r="N45" s="19"/>
      <c r="O45" s="27"/>
      <c r="P45" s="27"/>
      <c r="Q45" s="27"/>
      <c r="R45" s="27"/>
      <c r="S45" s="27"/>
    </row>
    <row r="46">
      <c r="K46" s="13"/>
      <c r="L46" s="21"/>
      <c r="M46" s="19"/>
      <c r="N46" s="19"/>
      <c r="O46" s="27"/>
      <c r="P46" s="27"/>
      <c r="Q46" s="27"/>
      <c r="R46" s="27"/>
      <c r="S46" s="27"/>
    </row>
    <row r="47">
      <c r="K47" s="13"/>
      <c r="L47" s="21"/>
      <c r="M47" s="19"/>
      <c r="N47" s="19"/>
      <c r="O47" s="27"/>
      <c r="P47" s="27"/>
      <c r="Q47" s="27"/>
      <c r="R47" s="27"/>
      <c r="S47" s="27"/>
    </row>
    <row r="48">
      <c r="K48" s="13"/>
      <c r="L48" s="21"/>
      <c r="M48" s="19"/>
      <c r="N48" s="19"/>
      <c r="O48" s="27"/>
      <c r="P48" s="27"/>
      <c r="Q48" s="27"/>
      <c r="R48" s="27"/>
      <c r="S48" s="27"/>
    </row>
    <row r="49">
      <c r="K49" s="13"/>
      <c r="L49" s="21"/>
      <c r="M49" s="19"/>
      <c r="N49" s="19"/>
      <c r="O49" s="27"/>
      <c r="P49" s="27"/>
      <c r="Q49" s="27"/>
      <c r="R49" s="27"/>
      <c r="S49" s="27"/>
    </row>
    <row r="50">
      <c r="K50" s="13"/>
      <c r="L50" s="21"/>
      <c r="M50" s="19"/>
      <c r="N50" s="19"/>
      <c r="O50" s="27"/>
      <c r="P50" s="27"/>
      <c r="Q50" s="27"/>
      <c r="R50" s="27"/>
      <c r="S50" s="27"/>
    </row>
    <row r="51">
      <c r="K51" s="13"/>
      <c r="L51" s="21"/>
      <c r="M51" s="19"/>
      <c r="N51" s="19"/>
      <c r="O51" s="27"/>
      <c r="P51" s="27"/>
      <c r="Q51" s="27"/>
      <c r="R51" s="27"/>
      <c r="S51" s="27"/>
    </row>
    <row r="52">
      <c r="K52" s="13"/>
      <c r="L52" s="21"/>
      <c r="M52" s="19"/>
      <c r="N52" s="19"/>
      <c r="O52" s="27"/>
      <c r="P52" s="27"/>
      <c r="Q52" s="27"/>
      <c r="R52" s="27"/>
      <c r="S52" s="27"/>
    </row>
    <row r="53">
      <c r="K53" s="13"/>
      <c r="L53" s="21"/>
      <c r="M53" s="19"/>
      <c r="N53" s="19"/>
      <c r="O53" s="27"/>
      <c r="P53" s="27"/>
      <c r="Q53" s="27"/>
      <c r="R53" s="27"/>
      <c r="S53" s="27"/>
    </row>
    <row r="54">
      <c r="K54" s="13"/>
      <c r="L54" s="21"/>
      <c r="M54" s="19"/>
      <c r="N54" s="19"/>
      <c r="O54" s="27"/>
      <c r="P54" s="27"/>
      <c r="Q54" s="27"/>
      <c r="R54" s="27"/>
      <c r="S54" s="27"/>
    </row>
    <row r="55">
      <c r="K55" s="13"/>
      <c r="L55" s="21"/>
      <c r="M55" s="19"/>
      <c r="N55" s="19"/>
      <c r="O55" s="27"/>
      <c r="P55" s="27"/>
      <c r="Q55" s="27"/>
      <c r="R55" s="27"/>
      <c r="S55" s="27"/>
    </row>
    <row r="56">
      <c r="K56" s="13"/>
      <c r="L56" s="21"/>
      <c r="M56" s="19"/>
      <c r="N56" s="19"/>
      <c r="O56" s="27"/>
      <c r="P56" s="27"/>
      <c r="Q56" s="27"/>
      <c r="R56" s="27"/>
      <c r="S56" s="27"/>
    </row>
    <row r="57">
      <c r="K57" s="13"/>
      <c r="L57" s="21"/>
      <c r="M57" s="19"/>
      <c r="N57" s="19"/>
      <c r="O57" s="27"/>
      <c r="P57" s="27"/>
      <c r="Q57" s="27"/>
      <c r="R57" s="27"/>
      <c r="S57" s="27"/>
    </row>
    <row r="58">
      <c r="K58" s="13"/>
      <c r="L58" s="21"/>
      <c r="M58" s="19"/>
      <c r="N58" s="19"/>
      <c r="O58" s="27"/>
      <c r="P58" s="27"/>
      <c r="Q58" s="27"/>
      <c r="R58" s="27"/>
      <c r="S58" s="27"/>
    </row>
    <row r="59">
      <c r="K59" s="13"/>
      <c r="L59" s="21"/>
      <c r="M59" s="19"/>
      <c r="N59" s="19"/>
      <c r="O59" s="27"/>
      <c r="P59" s="27"/>
      <c r="Q59" s="27"/>
      <c r="R59" s="27"/>
      <c r="S59" s="27"/>
    </row>
    <row r="60">
      <c r="K60" s="13"/>
      <c r="L60" s="21"/>
      <c r="M60" s="19"/>
      <c r="N60" s="19"/>
      <c r="O60" s="27"/>
      <c r="P60" s="27"/>
      <c r="Q60" s="27"/>
      <c r="R60" s="27"/>
      <c r="S60" s="27"/>
    </row>
    <row r="61">
      <c r="K61" s="13"/>
      <c r="L61" s="21"/>
      <c r="M61" s="19"/>
      <c r="N61" s="19"/>
      <c r="O61" s="27"/>
      <c r="P61" s="27"/>
      <c r="Q61" s="27"/>
      <c r="R61" s="27"/>
      <c r="S61" s="2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0"/>
  </cols>
  <sheetData>
    <row r="1">
      <c r="A1" s="2" t="s">
        <v>1</v>
      </c>
      <c r="B1" s="1"/>
      <c r="D1" s="3" t="s">
        <v>2</v>
      </c>
      <c r="E1" s="3" t="s">
        <v>3</v>
      </c>
      <c r="F1" s="3" t="s">
        <v>5</v>
      </c>
      <c r="G1" s="3" t="s">
        <v>6</v>
      </c>
      <c r="H1" s="3" t="s">
        <v>7</v>
      </c>
      <c r="I1" s="6" t="s">
        <v>9</v>
      </c>
      <c r="K1" s="10" t="s">
        <v>463</v>
      </c>
      <c r="L1" s="10"/>
      <c r="M1" s="10"/>
      <c r="N1" s="10"/>
      <c r="O1" s="10"/>
      <c r="P1" s="10"/>
      <c r="Q1" s="10"/>
      <c r="R1" s="10"/>
      <c r="S1" s="10"/>
    </row>
    <row r="2">
      <c r="A2" s="1" t="s">
        <v>21</v>
      </c>
      <c r="B2" s="2" t="s">
        <v>448</v>
      </c>
      <c r="D2" s="12"/>
      <c r="E2" s="12"/>
      <c r="F2" s="12"/>
      <c r="G2" s="12"/>
      <c r="H2" s="12"/>
      <c r="I2" s="12"/>
      <c r="K2" s="6" t="s">
        <v>8</v>
      </c>
      <c r="L2" s="6" t="s">
        <v>27</v>
      </c>
      <c r="M2" s="6" t="s">
        <v>28</v>
      </c>
      <c r="N2" s="6" t="s">
        <v>30</v>
      </c>
      <c r="O2" s="6" t="s">
        <v>25</v>
      </c>
      <c r="P2" s="6" t="s">
        <v>24</v>
      </c>
      <c r="Q2" s="6" t="s">
        <v>36</v>
      </c>
      <c r="R2" s="6" t="s">
        <v>35</v>
      </c>
      <c r="S2" s="6" t="s">
        <v>33</v>
      </c>
    </row>
    <row r="3">
      <c r="A3" s="1" t="s">
        <v>40</v>
      </c>
      <c r="B3" s="2" t="s">
        <v>102</v>
      </c>
      <c r="D3" s="12"/>
      <c r="E3" s="12"/>
      <c r="F3" s="12"/>
      <c r="G3" s="12"/>
      <c r="H3" s="12"/>
      <c r="I3" s="12"/>
      <c r="K3" s="13"/>
      <c r="L3" s="21"/>
      <c r="M3" s="19"/>
      <c r="N3" s="19"/>
      <c r="O3" s="19"/>
      <c r="P3" s="19"/>
      <c r="Q3" s="19"/>
      <c r="R3" s="19"/>
      <c r="S3" s="19"/>
    </row>
    <row r="4">
      <c r="A4" s="1" t="s">
        <v>50</v>
      </c>
      <c r="B4" s="2" t="s">
        <v>137</v>
      </c>
      <c r="D4" s="12"/>
      <c r="E4" s="12"/>
      <c r="F4" s="12"/>
      <c r="G4" s="12"/>
      <c r="H4" s="12"/>
      <c r="I4" s="12"/>
      <c r="K4" s="13"/>
      <c r="L4" s="21"/>
      <c r="M4" s="19"/>
      <c r="N4" s="19">
        <f>N3+M4</f>
        <v>0</v>
      </c>
      <c r="O4" s="27"/>
      <c r="P4" s="27"/>
      <c r="Q4" s="27"/>
      <c r="R4" s="19"/>
      <c r="S4" s="19"/>
    </row>
    <row r="5">
      <c r="A5" s="1" t="s">
        <v>66</v>
      </c>
      <c r="B5" s="2" t="s">
        <v>467</v>
      </c>
      <c r="D5" s="12"/>
      <c r="E5" s="12"/>
      <c r="F5" s="12"/>
      <c r="G5" s="12"/>
      <c r="H5" s="12"/>
      <c r="I5" s="12"/>
      <c r="K5" s="13"/>
      <c r="L5" s="21"/>
      <c r="M5" s="19"/>
      <c r="N5" s="19"/>
      <c r="O5" s="27"/>
      <c r="P5" s="27"/>
      <c r="Q5" s="27"/>
      <c r="R5" s="19"/>
      <c r="S5" s="19"/>
    </row>
    <row r="6">
      <c r="A6" s="1" t="s">
        <v>70</v>
      </c>
      <c r="B6" s="2" t="s">
        <v>469</v>
      </c>
      <c r="D6" s="12"/>
      <c r="E6" s="12"/>
      <c r="F6" s="12"/>
      <c r="G6" s="12"/>
      <c r="H6" s="12"/>
      <c r="I6" s="12"/>
      <c r="K6" s="13"/>
      <c r="L6" s="21"/>
      <c r="M6" s="19"/>
      <c r="N6" s="19"/>
      <c r="O6" s="27"/>
      <c r="P6" s="27"/>
      <c r="Q6" s="27"/>
      <c r="R6" s="19"/>
      <c r="S6" s="19"/>
    </row>
    <row r="7">
      <c r="K7" s="13"/>
      <c r="L7" s="21"/>
      <c r="M7" s="19"/>
      <c r="N7" s="19"/>
      <c r="O7" s="27"/>
      <c r="P7" s="27"/>
      <c r="Q7" s="27"/>
      <c r="R7" s="19"/>
      <c r="S7" s="19"/>
    </row>
    <row r="8">
      <c r="A8" s="6" t="s">
        <v>8</v>
      </c>
      <c r="B8" s="6" t="s">
        <v>84</v>
      </c>
      <c r="C8" s="6" t="s">
        <v>25</v>
      </c>
      <c r="D8" s="6" t="s">
        <v>86</v>
      </c>
      <c r="E8" s="6" t="s">
        <v>87</v>
      </c>
      <c r="G8" s="6" t="s">
        <v>8</v>
      </c>
      <c r="H8" s="6" t="s">
        <v>13</v>
      </c>
      <c r="I8" s="6" t="s">
        <v>88</v>
      </c>
      <c r="K8" s="13"/>
      <c r="L8" s="21"/>
      <c r="M8" s="19"/>
      <c r="N8" s="19"/>
      <c r="O8" s="27"/>
      <c r="P8" s="27"/>
      <c r="Q8" s="27"/>
      <c r="R8" s="19"/>
      <c r="S8" s="19"/>
    </row>
    <row r="9">
      <c r="A9" s="12"/>
      <c r="B9" s="12"/>
      <c r="C9" s="12"/>
      <c r="D9" s="12"/>
      <c r="E9" s="12"/>
      <c r="G9" s="12"/>
      <c r="H9" s="12"/>
      <c r="I9" s="12"/>
      <c r="K9" s="13"/>
      <c r="L9" s="21"/>
      <c r="M9" s="19"/>
      <c r="N9" s="19"/>
      <c r="O9" s="27"/>
      <c r="P9" s="27"/>
      <c r="Q9" s="27"/>
      <c r="R9" s="19"/>
      <c r="S9" s="19"/>
    </row>
    <row r="10">
      <c r="A10" s="12"/>
      <c r="B10" s="12"/>
      <c r="C10" s="12"/>
      <c r="D10" s="12"/>
      <c r="E10" s="12"/>
      <c r="G10" s="12"/>
      <c r="H10" s="12"/>
      <c r="I10" s="12"/>
      <c r="K10" s="13"/>
      <c r="L10" s="21"/>
      <c r="M10" s="19"/>
      <c r="N10" s="19"/>
      <c r="O10" s="27"/>
      <c r="P10" s="27"/>
      <c r="Q10" s="27"/>
      <c r="R10" s="19"/>
      <c r="S10" s="19"/>
    </row>
    <row r="11">
      <c r="A11" s="12"/>
      <c r="B11" s="12"/>
      <c r="C11" s="12"/>
      <c r="D11" s="12"/>
      <c r="E11" s="12"/>
      <c r="G11" s="12"/>
      <c r="H11" s="12"/>
      <c r="I11" s="12"/>
      <c r="K11" s="13"/>
      <c r="L11" s="21"/>
      <c r="M11" s="19"/>
      <c r="N11" s="19"/>
      <c r="O11" s="27"/>
      <c r="P11" s="27"/>
      <c r="Q11" s="27"/>
      <c r="R11" s="19"/>
      <c r="S11" s="19"/>
    </row>
    <row r="12">
      <c r="A12" s="12"/>
      <c r="B12" s="12"/>
      <c r="C12" s="12"/>
      <c r="D12" s="12"/>
      <c r="E12" s="12"/>
      <c r="G12" s="12"/>
      <c r="H12" s="12"/>
      <c r="I12" s="12"/>
      <c r="K12" s="13"/>
      <c r="L12" s="21"/>
      <c r="M12" s="19"/>
      <c r="N12" s="19"/>
      <c r="O12" s="27"/>
      <c r="P12" s="27"/>
      <c r="Q12" s="27"/>
      <c r="R12" s="19"/>
      <c r="S12" s="19"/>
    </row>
    <row r="13">
      <c r="A13" s="12"/>
      <c r="B13" s="12"/>
      <c r="C13" s="12"/>
      <c r="D13" s="12"/>
      <c r="E13" s="12"/>
      <c r="G13" s="12"/>
      <c r="H13" s="12"/>
      <c r="I13" s="12"/>
      <c r="K13" s="13"/>
      <c r="L13" s="21"/>
      <c r="M13" s="19"/>
      <c r="N13" s="19"/>
      <c r="O13" s="27"/>
      <c r="P13" s="27"/>
      <c r="Q13" s="27"/>
      <c r="R13" s="19"/>
      <c r="S13" s="19"/>
    </row>
    <row r="14">
      <c r="A14" s="12"/>
      <c r="B14" s="12"/>
      <c r="C14" s="12"/>
      <c r="D14" s="12"/>
      <c r="E14" s="12"/>
      <c r="G14" s="12"/>
      <c r="H14" s="12"/>
      <c r="I14" s="12"/>
      <c r="K14" s="13"/>
      <c r="L14" s="21"/>
      <c r="M14" s="19"/>
      <c r="N14" s="19"/>
      <c r="O14" s="27"/>
      <c r="P14" s="27"/>
      <c r="Q14" s="27"/>
      <c r="R14" s="19"/>
      <c r="S14" s="19"/>
    </row>
    <row r="15">
      <c r="A15" s="12"/>
      <c r="B15" s="12"/>
      <c r="C15" s="12"/>
      <c r="D15" s="12"/>
      <c r="E15" s="12"/>
      <c r="G15" s="12"/>
      <c r="H15" s="12"/>
      <c r="I15" s="12"/>
      <c r="K15" s="13"/>
      <c r="L15" s="21"/>
      <c r="M15" s="19"/>
      <c r="N15" s="19"/>
      <c r="O15" s="27"/>
      <c r="P15" s="27"/>
      <c r="Q15" s="27"/>
      <c r="R15" s="19"/>
      <c r="S15" s="19"/>
    </row>
    <row r="16">
      <c r="A16" s="12"/>
      <c r="B16" s="12"/>
      <c r="C16" s="12"/>
      <c r="D16" s="12"/>
      <c r="E16" s="12"/>
      <c r="G16" s="12"/>
      <c r="H16" s="12"/>
      <c r="I16" s="12"/>
      <c r="K16" s="13"/>
      <c r="L16" s="21"/>
      <c r="M16" s="19"/>
      <c r="N16" s="19"/>
      <c r="O16" s="27"/>
      <c r="P16" s="27"/>
      <c r="Q16" s="27"/>
      <c r="R16" s="19"/>
      <c r="S16" s="19"/>
    </row>
    <row r="17">
      <c r="A17" s="12"/>
      <c r="B17" s="12"/>
      <c r="C17" s="12"/>
      <c r="D17" s="12"/>
      <c r="E17" s="12"/>
      <c r="G17" s="12"/>
      <c r="H17" s="12"/>
      <c r="I17" s="12"/>
      <c r="K17" s="13"/>
      <c r="L17" s="21"/>
      <c r="M17" s="19"/>
      <c r="N17" s="19"/>
      <c r="O17" s="27"/>
      <c r="P17" s="27"/>
      <c r="Q17" s="27"/>
      <c r="R17" s="19"/>
      <c r="S17" s="19"/>
    </row>
    <row r="18">
      <c r="A18" s="12"/>
      <c r="B18" s="12"/>
      <c r="C18" s="12"/>
      <c r="D18" s="12"/>
      <c r="E18" s="12"/>
      <c r="G18" s="12"/>
      <c r="H18" s="12"/>
      <c r="I18" s="12"/>
      <c r="K18" s="13"/>
      <c r="L18" s="21"/>
      <c r="M18" s="19"/>
      <c r="N18" s="19"/>
      <c r="O18" s="27"/>
      <c r="P18" s="27"/>
      <c r="Q18" s="27"/>
      <c r="R18" s="19"/>
      <c r="S18" s="19"/>
    </row>
    <row r="19">
      <c r="A19" s="12"/>
      <c r="B19" s="12"/>
      <c r="C19" s="12"/>
      <c r="D19" s="12"/>
      <c r="E19" s="12"/>
      <c r="G19" s="12"/>
      <c r="H19" s="12"/>
      <c r="I19" s="12"/>
      <c r="K19" s="13"/>
      <c r="L19" s="21"/>
      <c r="M19" s="19"/>
      <c r="N19" s="19"/>
      <c r="O19" s="27"/>
      <c r="P19" s="27"/>
      <c r="Q19" s="27"/>
      <c r="R19" s="19"/>
      <c r="S19" s="19"/>
    </row>
    <row r="20">
      <c r="A20" s="12"/>
      <c r="B20" s="12"/>
      <c r="C20" s="12"/>
      <c r="D20" s="12"/>
      <c r="E20" s="12"/>
      <c r="G20" s="12"/>
      <c r="H20" s="12"/>
      <c r="I20" s="12"/>
      <c r="K20" s="13"/>
      <c r="L20" s="21"/>
      <c r="M20" s="19"/>
      <c r="N20" s="19"/>
      <c r="O20" s="27"/>
      <c r="P20" s="27"/>
      <c r="Q20" s="27"/>
      <c r="R20" s="19"/>
      <c r="S20" s="19"/>
    </row>
    <row r="21">
      <c r="A21" s="12"/>
      <c r="B21" s="12"/>
      <c r="C21" s="12"/>
      <c r="D21" s="12"/>
      <c r="E21" s="12"/>
      <c r="G21" s="12"/>
      <c r="H21" s="12"/>
      <c r="I21" s="12"/>
      <c r="K21" s="13"/>
      <c r="L21" s="21"/>
      <c r="M21" s="19"/>
      <c r="N21" s="19"/>
      <c r="O21" s="27"/>
      <c r="P21" s="27"/>
      <c r="Q21" s="27"/>
      <c r="R21" s="19"/>
      <c r="S21" s="19"/>
    </row>
    <row r="22">
      <c r="A22" s="12"/>
      <c r="B22" s="12"/>
      <c r="C22" s="12"/>
      <c r="D22" s="12"/>
      <c r="E22" s="12"/>
      <c r="G22" s="12"/>
      <c r="H22" s="12"/>
      <c r="I22" s="12"/>
      <c r="K22" s="13"/>
      <c r="L22" s="21"/>
      <c r="M22" s="19"/>
      <c r="N22" s="19"/>
      <c r="O22" s="27"/>
      <c r="P22" s="27"/>
      <c r="Q22" s="27"/>
      <c r="R22" s="19"/>
      <c r="S22" s="19"/>
    </row>
    <row r="23">
      <c r="A23" s="12"/>
      <c r="B23" s="12"/>
      <c r="C23" s="12"/>
      <c r="D23" s="12"/>
      <c r="E23" s="12"/>
      <c r="G23" s="12"/>
      <c r="H23" s="12"/>
      <c r="I23" s="12"/>
      <c r="K23" s="13"/>
      <c r="L23" s="21"/>
      <c r="M23" s="19"/>
      <c r="N23" s="19"/>
      <c r="O23" s="27"/>
      <c r="P23" s="27"/>
      <c r="Q23" s="27"/>
      <c r="R23" s="19"/>
      <c r="S23" s="19"/>
    </row>
    <row r="24">
      <c r="A24" s="12"/>
      <c r="B24" s="12"/>
      <c r="C24" s="12"/>
      <c r="D24" s="12"/>
      <c r="E24" s="12"/>
      <c r="G24" s="12"/>
      <c r="H24" s="12"/>
      <c r="I24" s="12"/>
      <c r="K24" s="13"/>
      <c r="L24" s="21"/>
      <c r="M24" s="19"/>
      <c r="N24" s="19"/>
      <c r="O24" s="27"/>
      <c r="P24" s="27"/>
      <c r="Q24" s="27"/>
      <c r="R24" s="19"/>
      <c r="S24" s="19"/>
    </row>
    <row r="25">
      <c r="A25" s="12"/>
      <c r="B25" s="12"/>
      <c r="C25" s="12"/>
      <c r="D25" s="12"/>
      <c r="E25" s="12"/>
      <c r="G25" s="12"/>
      <c r="H25" s="12"/>
      <c r="I25" s="12"/>
      <c r="K25" s="13"/>
      <c r="L25" s="21"/>
      <c r="M25" s="19"/>
      <c r="N25" s="19"/>
      <c r="O25" s="27"/>
      <c r="P25" s="27"/>
      <c r="Q25" s="27"/>
      <c r="R25" s="19"/>
      <c r="S25" s="19"/>
    </row>
    <row r="26">
      <c r="A26" s="12"/>
      <c r="B26" s="12"/>
      <c r="C26" s="12"/>
      <c r="D26" s="12"/>
      <c r="E26" s="12"/>
      <c r="G26" s="12"/>
      <c r="H26" s="12"/>
      <c r="I26" s="12"/>
      <c r="K26" s="13"/>
      <c r="L26" s="21"/>
      <c r="M26" s="19"/>
      <c r="N26" s="19"/>
      <c r="O26" s="27"/>
      <c r="P26" s="27"/>
      <c r="Q26" s="27"/>
      <c r="R26" s="19"/>
      <c r="S26" s="19"/>
    </row>
    <row r="27">
      <c r="A27" s="12"/>
      <c r="B27" s="12"/>
      <c r="C27" s="12"/>
      <c r="D27" s="12"/>
      <c r="E27" s="12"/>
      <c r="G27" s="12"/>
      <c r="H27" s="12"/>
      <c r="I27" s="12"/>
      <c r="K27" s="13"/>
      <c r="L27" s="21"/>
      <c r="M27" s="19"/>
      <c r="N27" s="19"/>
      <c r="O27" s="27"/>
      <c r="P27" s="27"/>
      <c r="Q27" s="27"/>
      <c r="R27" s="19"/>
      <c r="S27" s="19"/>
    </row>
    <row r="28">
      <c r="A28" s="12"/>
      <c r="B28" s="12"/>
      <c r="C28" s="12"/>
      <c r="D28" s="12"/>
      <c r="E28" s="12"/>
      <c r="G28" s="12"/>
      <c r="H28" s="12"/>
      <c r="I28" s="12"/>
      <c r="K28" s="13"/>
      <c r="L28" s="21"/>
      <c r="M28" s="19"/>
      <c r="N28" s="19"/>
      <c r="O28" s="19"/>
      <c r="P28" s="27"/>
      <c r="Q28" s="27"/>
      <c r="R28" s="19"/>
      <c r="S28" s="19"/>
    </row>
    <row r="29">
      <c r="K29" s="13"/>
      <c r="L29" s="21"/>
      <c r="M29" s="19"/>
      <c r="N29" s="19"/>
      <c r="O29" s="27"/>
      <c r="P29" s="27"/>
      <c r="Q29" s="27"/>
      <c r="R29" s="19"/>
      <c r="S29" s="19"/>
    </row>
    <row r="30">
      <c r="K30" s="13"/>
      <c r="L30" s="21"/>
      <c r="M30" s="19"/>
      <c r="N30" s="19"/>
      <c r="O30" s="27"/>
      <c r="P30" s="27"/>
      <c r="Q30" s="27"/>
      <c r="R30" s="19"/>
      <c r="S30" s="19"/>
    </row>
    <row r="31">
      <c r="K31" s="13"/>
      <c r="L31" s="21"/>
      <c r="M31" s="19"/>
      <c r="N31" s="19"/>
      <c r="O31" s="27"/>
      <c r="P31" s="27"/>
      <c r="Q31" s="27"/>
      <c r="R31" s="19"/>
      <c r="S31" s="19"/>
    </row>
    <row r="32">
      <c r="K32" s="13"/>
      <c r="L32" s="21"/>
      <c r="M32" s="19"/>
      <c r="N32" s="19"/>
      <c r="O32" s="27"/>
      <c r="P32" s="27"/>
      <c r="Q32" s="27"/>
      <c r="R32" s="19"/>
      <c r="S32" s="19"/>
    </row>
    <row r="33">
      <c r="K33" s="13"/>
      <c r="L33" s="21"/>
      <c r="M33" s="19"/>
      <c r="N33" s="19"/>
      <c r="O33" s="27"/>
      <c r="P33" s="27"/>
      <c r="Q33" s="27"/>
      <c r="R33" s="19"/>
      <c r="S33" s="19"/>
    </row>
    <row r="34">
      <c r="K34" s="13"/>
      <c r="L34" s="21"/>
      <c r="M34" s="19"/>
      <c r="N34" s="19"/>
      <c r="O34" s="27"/>
      <c r="P34" s="27"/>
      <c r="Q34" s="27"/>
      <c r="R34" s="19"/>
      <c r="S34" s="19"/>
    </row>
    <row r="35">
      <c r="K35" s="13"/>
      <c r="L35" s="21"/>
      <c r="M35" s="19"/>
      <c r="N35" s="19"/>
      <c r="O35" s="27"/>
      <c r="P35" s="27"/>
      <c r="Q35" s="27"/>
      <c r="R35" s="19"/>
      <c r="S35" s="19"/>
    </row>
    <row r="36">
      <c r="K36" s="13"/>
      <c r="L36" s="21"/>
      <c r="M36" s="19"/>
      <c r="N36" s="19"/>
      <c r="O36" s="27"/>
      <c r="P36" s="27"/>
      <c r="Q36" s="27"/>
      <c r="R36" s="19"/>
      <c r="S36" s="19"/>
    </row>
    <row r="37">
      <c r="K37" s="13"/>
      <c r="L37" s="21"/>
      <c r="M37" s="19"/>
      <c r="N37" s="19"/>
      <c r="O37" s="27"/>
      <c r="P37" s="27"/>
      <c r="Q37" s="27"/>
      <c r="R37" s="19"/>
      <c r="S37" s="19"/>
    </row>
    <row r="38">
      <c r="K38" s="13"/>
      <c r="L38" s="21"/>
      <c r="M38" s="19"/>
      <c r="N38" s="19"/>
      <c r="O38" s="27"/>
      <c r="P38" s="27"/>
      <c r="Q38" s="27"/>
      <c r="R38" s="19"/>
      <c r="S38" s="19"/>
    </row>
    <row r="39">
      <c r="K39" s="13"/>
      <c r="L39" s="21"/>
      <c r="M39" s="19"/>
      <c r="N39" s="19"/>
      <c r="O39" s="27"/>
      <c r="P39" s="27"/>
      <c r="Q39" s="27"/>
      <c r="R39" s="27"/>
      <c r="S39" s="27"/>
    </row>
    <row r="40">
      <c r="K40" s="13"/>
      <c r="L40" s="21"/>
      <c r="M40" s="19"/>
      <c r="N40" s="19"/>
      <c r="O40" s="27"/>
      <c r="P40" s="27"/>
      <c r="Q40" s="27"/>
      <c r="R40" s="27"/>
      <c r="S40" s="27"/>
    </row>
    <row r="41">
      <c r="K41" s="13"/>
      <c r="L41" s="21"/>
      <c r="M41" s="19"/>
      <c r="N41" s="19"/>
      <c r="O41" s="27"/>
      <c r="P41" s="27"/>
      <c r="Q41" s="27"/>
      <c r="R41" s="27"/>
      <c r="S41" s="27"/>
    </row>
    <row r="42">
      <c r="K42" s="13"/>
      <c r="L42" s="21"/>
      <c r="M42" s="19"/>
      <c r="N42" s="19"/>
      <c r="O42" s="27"/>
      <c r="P42" s="27"/>
      <c r="Q42" s="27"/>
      <c r="R42" s="27"/>
      <c r="S42" s="27"/>
    </row>
    <row r="43">
      <c r="K43" s="13"/>
      <c r="L43" s="21"/>
      <c r="M43" s="19"/>
      <c r="N43" s="19"/>
      <c r="O43" s="27"/>
      <c r="P43" s="27"/>
      <c r="Q43" s="27"/>
      <c r="R43" s="27"/>
      <c r="S43" s="27"/>
    </row>
    <row r="44">
      <c r="K44" s="13"/>
      <c r="L44" s="21"/>
      <c r="M44" s="19"/>
      <c r="N44" s="19"/>
      <c r="O44" s="27"/>
      <c r="P44" s="27"/>
      <c r="Q44" s="27"/>
      <c r="R44" s="27"/>
      <c r="S44" s="27"/>
    </row>
    <row r="45">
      <c r="K45" s="13"/>
      <c r="L45" s="21"/>
      <c r="M45" s="19"/>
      <c r="N45" s="19"/>
      <c r="O45" s="27"/>
      <c r="P45" s="27"/>
      <c r="Q45" s="27"/>
      <c r="R45" s="27"/>
      <c r="S45" s="27"/>
    </row>
    <row r="46">
      <c r="K46" s="13"/>
      <c r="L46" s="21"/>
      <c r="M46" s="19"/>
      <c r="N46" s="19"/>
      <c r="O46" s="27"/>
      <c r="P46" s="27"/>
      <c r="Q46" s="27"/>
      <c r="R46" s="27"/>
      <c r="S46" s="27"/>
    </row>
    <row r="47">
      <c r="K47" s="13"/>
      <c r="L47" s="21"/>
      <c r="M47" s="19"/>
      <c r="N47" s="19"/>
      <c r="O47" s="27"/>
      <c r="P47" s="27"/>
      <c r="Q47" s="27"/>
      <c r="R47" s="27"/>
      <c r="S47" s="27"/>
    </row>
    <row r="48">
      <c r="K48" s="13"/>
      <c r="L48" s="21"/>
      <c r="M48" s="19"/>
      <c r="N48" s="19"/>
      <c r="O48" s="27"/>
      <c r="P48" s="27"/>
      <c r="Q48" s="27"/>
      <c r="R48" s="27"/>
      <c r="S48" s="27"/>
    </row>
    <row r="49">
      <c r="K49" s="13"/>
      <c r="L49" s="21"/>
      <c r="M49" s="19"/>
      <c r="N49" s="19"/>
      <c r="O49" s="27"/>
      <c r="P49" s="27"/>
      <c r="Q49" s="27"/>
      <c r="R49" s="27"/>
      <c r="S49" s="27"/>
    </row>
    <row r="50">
      <c r="K50" s="13"/>
      <c r="L50" s="21"/>
      <c r="M50" s="19"/>
      <c r="N50" s="19"/>
      <c r="O50" s="27"/>
      <c r="P50" s="27"/>
      <c r="Q50" s="27"/>
      <c r="R50" s="27"/>
      <c r="S50" s="27"/>
    </row>
    <row r="51">
      <c r="K51" s="13"/>
      <c r="L51" s="21"/>
      <c r="M51" s="19"/>
      <c r="N51" s="19"/>
      <c r="O51" s="27"/>
      <c r="P51" s="27"/>
      <c r="Q51" s="27"/>
      <c r="R51" s="27"/>
      <c r="S51" s="27"/>
    </row>
    <row r="52">
      <c r="K52" s="13"/>
      <c r="L52" s="21"/>
      <c r="M52" s="19"/>
      <c r="N52" s="19"/>
      <c r="O52" s="27"/>
      <c r="P52" s="27"/>
      <c r="Q52" s="27"/>
      <c r="R52" s="27"/>
      <c r="S52" s="27"/>
    </row>
    <row r="53">
      <c r="K53" s="13"/>
      <c r="L53" s="21"/>
      <c r="M53" s="19"/>
      <c r="N53" s="19"/>
      <c r="O53" s="27"/>
      <c r="P53" s="27"/>
      <c r="Q53" s="27"/>
      <c r="R53" s="27"/>
      <c r="S53" s="27"/>
    </row>
    <row r="54">
      <c r="K54" s="13"/>
      <c r="L54" s="21"/>
      <c r="M54" s="19"/>
      <c r="N54" s="19"/>
      <c r="O54" s="27"/>
      <c r="P54" s="27"/>
      <c r="Q54" s="27"/>
      <c r="R54" s="27"/>
      <c r="S54" s="27"/>
    </row>
    <row r="55">
      <c r="K55" s="13"/>
      <c r="L55" s="21"/>
      <c r="M55" s="19"/>
      <c r="N55" s="19"/>
      <c r="O55" s="27"/>
      <c r="P55" s="27"/>
      <c r="Q55" s="27"/>
      <c r="R55" s="27"/>
      <c r="S55" s="27"/>
    </row>
    <row r="56">
      <c r="K56" s="13"/>
      <c r="L56" s="21"/>
      <c r="M56" s="19"/>
      <c r="N56" s="19"/>
      <c r="O56" s="27"/>
      <c r="P56" s="27"/>
      <c r="Q56" s="27"/>
      <c r="R56" s="27"/>
      <c r="S56" s="27"/>
    </row>
    <row r="57">
      <c r="K57" s="13"/>
      <c r="L57" s="21"/>
      <c r="M57" s="19"/>
      <c r="N57" s="19"/>
      <c r="O57" s="27"/>
      <c r="P57" s="27"/>
      <c r="Q57" s="27"/>
      <c r="R57" s="27"/>
      <c r="S57" s="27"/>
    </row>
    <row r="58">
      <c r="K58" s="13"/>
      <c r="L58" s="21"/>
      <c r="M58" s="19"/>
      <c r="N58" s="19"/>
      <c r="O58" s="27"/>
      <c r="P58" s="27"/>
      <c r="Q58" s="27"/>
      <c r="R58" s="27"/>
      <c r="S58" s="27"/>
    </row>
    <row r="59">
      <c r="K59" s="13"/>
      <c r="L59" s="21"/>
      <c r="M59" s="19"/>
      <c r="N59" s="19"/>
      <c r="O59" s="27"/>
      <c r="P59" s="27"/>
      <c r="Q59" s="27"/>
      <c r="R59" s="27"/>
      <c r="S59" s="27"/>
    </row>
    <row r="60">
      <c r="K60" s="13"/>
      <c r="L60" s="21"/>
      <c r="M60" s="19"/>
      <c r="N60" s="19"/>
      <c r="O60" s="27"/>
      <c r="P60" s="27"/>
      <c r="Q60" s="27"/>
      <c r="R60" s="27"/>
      <c r="S60" s="27"/>
    </row>
    <row r="61">
      <c r="K61" s="13"/>
      <c r="L61" s="21"/>
      <c r="M61" s="19"/>
      <c r="N61" s="19"/>
      <c r="O61" s="27"/>
      <c r="P61" s="27"/>
      <c r="Q61" s="27"/>
      <c r="R61" s="27"/>
      <c r="S61" s="2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75"/>
    <col customWidth="1" min="12" max="12" width="16.13"/>
    <col customWidth="1" min="13" max="13" width="23.5"/>
    <col customWidth="1" min="17" max="17" width="18.75"/>
    <col customWidth="1" min="18" max="18" width="24.75"/>
    <col customWidth="1" min="19" max="19" width="25.25"/>
  </cols>
  <sheetData>
    <row r="1">
      <c r="A1" s="2" t="s">
        <v>1</v>
      </c>
      <c r="B1" s="1"/>
      <c r="D1" s="3" t="s">
        <v>2</v>
      </c>
      <c r="E1" s="3" t="s">
        <v>3</v>
      </c>
      <c r="F1" s="3" t="s">
        <v>5</v>
      </c>
      <c r="G1" s="3" t="s">
        <v>6</v>
      </c>
      <c r="H1" s="3" t="s">
        <v>7</v>
      </c>
      <c r="I1" s="6" t="s">
        <v>9</v>
      </c>
      <c r="K1" s="10" t="s">
        <v>482</v>
      </c>
      <c r="L1" s="10"/>
      <c r="M1" s="10"/>
      <c r="N1" s="10"/>
      <c r="O1" s="10"/>
      <c r="P1" s="10"/>
      <c r="Q1" s="10"/>
      <c r="R1" s="10"/>
      <c r="S1" s="10"/>
    </row>
    <row r="2">
      <c r="A2" s="1" t="s">
        <v>21</v>
      </c>
      <c r="B2" s="2" t="s">
        <v>448</v>
      </c>
      <c r="D2" s="13">
        <v>46030.0</v>
      </c>
      <c r="E2" s="13">
        <v>46030.0</v>
      </c>
      <c r="F2" s="13">
        <v>46030.0</v>
      </c>
      <c r="G2" s="13">
        <v>46030.0</v>
      </c>
      <c r="H2" s="13">
        <v>46030.0</v>
      </c>
      <c r="I2" s="13">
        <v>46030.0</v>
      </c>
      <c r="K2" s="6" t="s">
        <v>8</v>
      </c>
      <c r="L2" s="6" t="s">
        <v>24</v>
      </c>
      <c r="M2" s="6" t="s">
        <v>25</v>
      </c>
      <c r="N2" s="6" t="s">
        <v>27</v>
      </c>
      <c r="O2" s="6" t="s">
        <v>28</v>
      </c>
      <c r="P2" s="6" t="s">
        <v>30</v>
      </c>
      <c r="Q2" s="6" t="s">
        <v>36</v>
      </c>
      <c r="R2" s="6" t="s">
        <v>35</v>
      </c>
      <c r="S2" s="6" t="s">
        <v>33</v>
      </c>
    </row>
    <row r="3">
      <c r="A3" s="1" t="s">
        <v>40</v>
      </c>
      <c r="B3" s="2" t="s">
        <v>102</v>
      </c>
      <c r="D3" s="12"/>
      <c r="E3" s="12"/>
      <c r="F3" s="12"/>
      <c r="G3" s="12"/>
      <c r="H3" s="12"/>
      <c r="I3" s="12"/>
      <c r="K3" s="13">
        <v>46083.0</v>
      </c>
      <c r="L3" s="76" t="s">
        <v>483</v>
      </c>
      <c r="M3" s="76" t="s">
        <v>484</v>
      </c>
      <c r="N3" s="21" t="s">
        <v>485</v>
      </c>
      <c r="O3" s="19">
        <v>632.0</v>
      </c>
      <c r="P3" s="19">
        <v>5144.0</v>
      </c>
      <c r="Q3" s="76" t="s">
        <v>486</v>
      </c>
      <c r="R3" s="76" t="s">
        <v>487</v>
      </c>
      <c r="S3" s="76" t="s">
        <v>488</v>
      </c>
    </row>
    <row r="4">
      <c r="A4" s="1" t="s">
        <v>50</v>
      </c>
      <c r="B4" s="2" t="s">
        <v>150</v>
      </c>
      <c r="D4" s="12"/>
      <c r="E4" s="12"/>
      <c r="F4" s="12"/>
      <c r="G4" s="12"/>
      <c r="H4" s="12"/>
      <c r="I4" s="12"/>
      <c r="K4" s="26">
        <v>46084.0</v>
      </c>
      <c r="L4" s="47" t="s">
        <v>489</v>
      </c>
      <c r="M4" s="47"/>
      <c r="N4" s="21"/>
      <c r="O4" s="19"/>
      <c r="P4" s="19"/>
      <c r="Q4" s="47" t="s">
        <v>490</v>
      </c>
      <c r="R4" s="76" t="s">
        <v>487</v>
      </c>
      <c r="S4" s="76" t="s">
        <v>488</v>
      </c>
    </row>
    <row r="5">
      <c r="A5" s="1" t="s">
        <v>66</v>
      </c>
      <c r="B5" s="2" t="s">
        <v>491</v>
      </c>
      <c r="D5" s="12"/>
      <c r="E5" s="12"/>
      <c r="F5" s="12"/>
      <c r="G5" s="12"/>
      <c r="H5" s="12"/>
      <c r="I5" s="12"/>
      <c r="K5" s="13">
        <v>46085.0</v>
      </c>
      <c r="L5" s="47" t="s">
        <v>492</v>
      </c>
      <c r="M5" s="47" t="s">
        <v>493</v>
      </c>
      <c r="N5" s="21" t="s">
        <v>485</v>
      </c>
      <c r="O5" s="19">
        <v>355.0</v>
      </c>
      <c r="P5" s="19">
        <v>4789.0</v>
      </c>
      <c r="Q5" s="47" t="s">
        <v>490</v>
      </c>
      <c r="R5" s="76" t="s">
        <v>494</v>
      </c>
      <c r="S5" s="76" t="s">
        <v>495</v>
      </c>
    </row>
    <row r="6">
      <c r="A6" s="1" t="s">
        <v>70</v>
      </c>
      <c r="B6" s="2" t="s">
        <v>496</v>
      </c>
      <c r="D6" s="12"/>
      <c r="E6" s="12"/>
      <c r="F6" s="12"/>
      <c r="G6" s="12"/>
      <c r="H6" s="12"/>
      <c r="I6" s="12"/>
      <c r="K6" s="13">
        <v>46086.0</v>
      </c>
      <c r="L6" s="47" t="s">
        <v>497</v>
      </c>
      <c r="M6" s="47"/>
      <c r="N6" s="21"/>
      <c r="O6" s="19"/>
      <c r="P6" s="19"/>
      <c r="Q6" s="47" t="s">
        <v>498</v>
      </c>
      <c r="R6" s="76" t="s">
        <v>499</v>
      </c>
      <c r="S6" s="76" t="s">
        <v>500</v>
      </c>
    </row>
    <row r="7">
      <c r="K7" s="13">
        <v>46087.0</v>
      </c>
      <c r="L7" s="47" t="s">
        <v>501</v>
      </c>
      <c r="M7" s="47"/>
      <c r="N7" s="21"/>
      <c r="O7" s="19"/>
      <c r="P7" s="19"/>
      <c r="Q7" s="47" t="s">
        <v>490</v>
      </c>
      <c r="R7" s="76" t="s">
        <v>502</v>
      </c>
      <c r="S7" s="76" t="s">
        <v>503</v>
      </c>
    </row>
    <row r="8">
      <c r="A8" s="6" t="s">
        <v>8</v>
      </c>
      <c r="B8" s="6" t="s">
        <v>84</v>
      </c>
      <c r="C8" s="6" t="s">
        <v>25</v>
      </c>
      <c r="D8" s="6" t="s">
        <v>86</v>
      </c>
      <c r="E8" s="6" t="s">
        <v>87</v>
      </c>
      <c r="G8" s="6" t="s">
        <v>8</v>
      </c>
      <c r="H8" s="6" t="s">
        <v>13</v>
      </c>
      <c r="I8" s="6" t="s">
        <v>88</v>
      </c>
      <c r="K8" s="13">
        <v>46090.0</v>
      </c>
      <c r="L8" s="47" t="s">
        <v>504</v>
      </c>
      <c r="M8" s="47"/>
      <c r="N8" s="21"/>
      <c r="O8" s="19"/>
      <c r="P8" s="19"/>
      <c r="Q8" s="47" t="s">
        <v>505</v>
      </c>
      <c r="R8" s="76" t="s">
        <v>506</v>
      </c>
      <c r="S8" s="76" t="s">
        <v>507</v>
      </c>
    </row>
    <row r="9">
      <c r="A9" s="13">
        <v>46105.0</v>
      </c>
      <c r="B9" s="12"/>
      <c r="C9" s="21" t="s">
        <v>508</v>
      </c>
      <c r="D9" s="21" t="s">
        <v>509</v>
      </c>
      <c r="E9" s="21" t="s">
        <v>510</v>
      </c>
      <c r="G9" s="13">
        <v>46048.0</v>
      </c>
      <c r="H9" s="21">
        <v>65.0</v>
      </c>
      <c r="I9" s="21">
        <v>34.89</v>
      </c>
      <c r="K9" s="13">
        <v>46091.0</v>
      </c>
      <c r="L9" s="47" t="s">
        <v>511</v>
      </c>
      <c r="M9" s="47" t="s">
        <v>512</v>
      </c>
      <c r="N9" s="21" t="s">
        <v>485</v>
      </c>
      <c r="O9" s="19">
        <v>136.0</v>
      </c>
      <c r="P9" s="19">
        <v>4653.0</v>
      </c>
      <c r="Q9" s="47" t="s">
        <v>490</v>
      </c>
      <c r="R9" s="76" t="s">
        <v>513</v>
      </c>
      <c r="S9" s="76" t="s">
        <v>488</v>
      </c>
    </row>
    <row r="10">
      <c r="A10" s="13">
        <v>46220.0</v>
      </c>
      <c r="B10" s="12"/>
      <c r="C10" s="21" t="s">
        <v>514</v>
      </c>
      <c r="D10" s="21" t="s">
        <v>509</v>
      </c>
      <c r="E10" s="21" t="s">
        <v>510</v>
      </c>
      <c r="G10" s="13">
        <v>46055.0</v>
      </c>
      <c r="H10" s="21">
        <v>628.0</v>
      </c>
      <c r="I10" s="21">
        <v>49.55</v>
      </c>
      <c r="K10" s="13">
        <v>46092.0</v>
      </c>
      <c r="L10" s="47" t="s">
        <v>515</v>
      </c>
      <c r="M10" s="47"/>
      <c r="N10" s="21"/>
      <c r="O10" s="19"/>
      <c r="P10" s="19"/>
      <c r="Q10" s="47" t="s">
        <v>490</v>
      </c>
      <c r="R10" s="76" t="s">
        <v>513</v>
      </c>
      <c r="S10" s="76" t="s">
        <v>488</v>
      </c>
    </row>
    <row r="11">
      <c r="A11" s="26">
        <v>46290.0</v>
      </c>
      <c r="B11" s="12"/>
      <c r="C11" s="21" t="s">
        <v>516</v>
      </c>
      <c r="D11" s="21" t="s">
        <v>509</v>
      </c>
      <c r="E11" s="21" t="s">
        <v>510</v>
      </c>
      <c r="G11" s="13">
        <v>46065.0</v>
      </c>
      <c r="H11" s="21">
        <v>1244.0</v>
      </c>
      <c r="I11" s="21">
        <v>55.17</v>
      </c>
      <c r="K11" s="13">
        <v>46093.0</v>
      </c>
      <c r="L11" s="47" t="s">
        <v>517</v>
      </c>
      <c r="M11" s="47" t="s">
        <v>518</v>
      </c>
      <c r="N11" s="21" t="s">
        <v>485</v>
      </c>
      <c r="O11" s="19">
        <v>136.0</v>
      </c>
      <c r="P11" s="19">
        <v>4517.0</v>
      </c>
      <c r="Q11" s="47" t="s">
        <v>490</v>
      </c>
      <c r="R11" s="76" t="s">
        <v>519</v>
      </c>
      <c r="S11" s="76" t="s">
        <v>488</v>
      </c>
      <c r="W11" s="1">
        <v>4.0</v>
      </c>
    </row>
    <row r="12">
      <c r="A12" s="12"/>
      <c r="B12" s="12"/>
      <c r="C12" s="12"/>
      <c r="D12" s="12"/>
      <c r="E12" s="12"/>
      <c r="G12" s="13">
        <v>46076.0</v>
      </c>
      <c r="H12" s="21">
        <v>1818.0</v>
      </c>
      <c r="I12" s="21">
        <v>57.7</v>
      </c>
      <c r="K12" s="13">
        <v>46096.0</v>
      </c>
      <c r="L12" s="47" t="s">
        <v>520</v>
      </c>
      <c r="M12" s="47"/>
      <c r="N12" s="21"/>
      <c r="O12" s="19"/>
      <c r="P12" s="19"/>
      <c r="Q12" s="47" t="s">
        <v>490</v>
      </c>
      <c r="R12" s="76" t="s">
        <v>521</v>
      </c>
      <c r="S12" s="76" t="s">
        <v>488</v>
      </c>
    </row>
    <row r="13">
      <c r="A13" s="12"/>
      <c r="B13" s="12"/>
      <c r="C13" s="12"/>
      <c r="D13" s="12"/>
      <c r="E13" s="12"/>
      <c r="G13" s="13">
        <v>46084.0</v>
      </c>
      <c r="H13" s="21">
        <v>2314.0</v>
      </c>
      <c r="I13" s="21">
        <v>46.89</v>
      </c>
      <c r="K13" s="13">
        <v>46097.0</v>
      </c>
      <c r="L13" s="47" t="s">
        <v>522</v>
      </c>
      <c r="M13" s="47"/>
      <c r="N13" s="21"/>
      <c r="O13" s="19"/>
      <c r="P13" s="19"/>
      <c r="Q13" s="47" t="s">
        <v>490</v>
      </c>
      <c r="R13" s="76" t="s">
        <v>521</v>
      </c>
      <c r="S13" s="76" t="s">
        <v>488</v>
      </c>
    </row>
    <row r="14">
      <c r="A14" s="12"/>
      <c r="B14" s="12"/>
      <c r="C14" s="12"/>
      <c r="D14" s="12"/>
      <c r="E14" s="12"/>
      <c r="G14" s="13">
        <v>46090.0</v>
      </c>
      <c r="H14" s="21">
        <v>2745.0</v>
      </c>
      <c r="I14" s="21">
        <v>44.78</v>
      </c>
      <c r="K14" s="13">
        <v>46098.0</v>
      </c>
      <c r="L14" s="47" t="s">
        <v>523</v>
      </c>
      <c r="M14" s="47"/>
      <c r="N14" s="21"/>
      <c r="O14" s="19"/>
      <c r="P14" s="19"/>
      <c r="Q14" s="47" t="s">
        <v>490</v>
      </c>
      <c r="R14" s="76" t="s">
        <v>521</v>
      </c>
      <c r="S14" s="76" t="s">
        <v>488</v>
      </c>
    </row>
    <row r="15">
      <c r="A15" s="12"/>
      <c r="B15" s="12"/>
      <c r="C15" s="12"/>
      <c r="D15" s="12"/>
      <c r="E15" s="12"/>
      <c r="G15" s="13">
        <v>46103.0</v>
      </c>
      <c r="H15" s="21">
        <v>3192.0</v>
      </c>
      <c r="I15" s="21">
        <v>42.52</v>
      </c>
      <c r="K15" s="13">
        <v>46099.0</v>
      </c>
      <c r="L15" s="47" t="s">
        <v>524</v>
      </c>
      <c r="M15" s="47" t="s">
        <v>525</v>
      </c>
      <c r="N15" s="21" t="s">
        <v>485</v>
      </c>
      <c r="O15" s="19">
        <v>355.0</v>
      </c>
      <c r="P15" s="19">
        <v>4162.0</v>
      </c>
      <c r="Q15" s="47" t="s">
        <v>490</v>
      </c>
      <c r="R15" s="76" t="s">
        <v>521</v>
      </c>
      <c r="S15" s="76" t="s">
        <v>488</v>
      </c>
    </row>
    <row r="16">
      <c r="A16" s="12"/>
      <c r="B16" s="12"/>
      <c r="C16" s="12"/>
      <c r="D16" s="12"/>
      <c r="E16" s="12"/>
      <c r="G16" s="13">
        <v>46107.0</v>
      </c>
      <c r="H16" s="21">
        <v>3539.0</v>
      </c>
      <c r="I16" s="21">
        <v>38.98</v>
      </c>
      <c r="K16" s="13">
        <v>46100.0</v>
      </c>
      <c r="L16" s="47" t="s">
        <v>526</v>
      </c>
      <c r="M16" s="47"/>
      <c r="N16" s="21"/>
      <c r="O16" s="19"/>
      <c r="P16" s="19"/>
      <c r="Q16" s="47" t="s">
        <v>490</v>
      </c>
      <c r="R16" s="76" t="s">
        <v>487</v>
      </c>
      <c r="S16" s="76" t="s">
        <v>488</v>
      </c>
    </row>
    <row r="17">
      <c r="A17" s="12"/>
      <c r="B17" s="12"/>
      <c r="C17" s="12"/>
      <c r="D17" s="12"/>
      <c r="E17" s="12"/>
      <c r="G17" s="13">
        <v>46118.0</v>
      </c>
      <c r="H17" s="21">
        <v>4070.0</v>
      </c>
      <c r="I17" s="21">
        <v>56.01</v>
      </c>
      <c r="K17" s="13">
        <v>46103.0</v>
      </c>
      <c r="L17" s="47" t="s">
        <v>527</v>
      </c>
      <c r="M17" s="47"/>
      <c r="N17" s="21"/>
      <c r="O17" s="19"/>
      <c r="P17" s="19"/>
      <c r="Q17" s="47" t="s">
        <v>490</v>
      </c>
      <c r="R17" s="76" t="s">
        <v>521</v>
      </c>
      <c r="S17" s="76" t="s">
        <v>488</v>
      </c>
    </row>
    <row r="18">
      <c r="A18" s="12"/>
      <c r="B18" s="12"/>
      <c r="C18" s="12"/>
      <c r="D18" s="12"/>
      <c r="E18" s="12"/>
      <c r="G18" s="13">
        <v>46128.0</v>
      </c>
      <c r="H18" s="21">
        <v>4499.0</v>
      </c>
      <c r="I18" s="21">
        <v>51.11</v>
      </c>
      <c r="K18" s="13">
        <v>46104.0</v>
      </c>
      <c r="L18" s="47" t="s">
        <v>528</v>
      </c>
      <c r="M18" s="47"/>
      <c r="N18" s="21"/>
      <c r="O18" s="19"/>
      <c r="P18" s="19"/>
      <c r="Q18" s="47" t="s">
        <v>490</v>
      </c>
      <c r="R18" s="76" t="s">
        <v>529</v>
      </c>
      <c r="S18" s="76" t="s">
        <v>530</v>
      </c>
    </row>
    <row r="19">
      <c r="A19" s="12"/>
      <c r="B19" s="12"/>
      <c r="C19" s="12"/>
      <c r="D19" s="12"/>
      <c r="E19" s="12"/>
      <c r="G19" s="13">
        <v>46136.0</v>
      </c>
      <c r="H19" s="21">
        <v>5062.0</v>
      </c>
      <c r="I19" s="21">
        <v>567.67</v>
      </c>
      <c r="K19" s="13">
        <v>46105.0</v>
      </c>
      <c r="L19" s="47" t="s">
        <v>531</v>
      </c>
      <c r="M19" s="47"/>
      <c r="N19" s="21"/>
      <c r="O19" s="19"/>
      <c r="P19" s="19"/>
      <c r="Q19" s="47" t="s">
        <v>490</v>
      </c>
      <c r="R19" s="76" t="s">
        <v>532</v>
      </c>
      <c r="S19" s="76" t="s">
        <v>488</v>
      </c>
    </row>
    <row r="20">
      <c r="A20" s="12"/>
      <c r="B20" s="12"/>
      <c r="C20" s="12"/>
      <c r="D20" s="12"/>
      <c r="E20" s="12"/>
      <c r="G20" s="13">
        <v>46141.0</v>
      </c>
      <c r="H20" s="21">
        <v>5486.0</v>
      </c>
      <c r="I20" s="21">
        <v>42.26</v>
      </c>
      <c r="K20" s="13">
        <v>46106.0</v>
      </c>
      <c r="L20" s="47" t="s">
        <v>533</v>
      </c>
      <c r="M20" s="47"/>
      <c r="N20" s="21"/>
      <c r="O20" s="19"/>
      <c r="P20" s="19"/>
      <c r="Q20" s="47" t="s">
        <v>490</v>
      </c>
      <c r="R20" s="76" t="s">
        <v>521</v>
      </c>
      <c r="S20" s="76" t="s">
        <v>488</v>
      </c>
    </row>
    <row r="21">
      <c r="A21" s="12"/>
      <c r="B21" s="12"/>
      <c r="C21" s="12"/>
      <c r="D21" s="12"/>
      <c r="E21" s="12"/>
      <c r="G21" s="13">
        <v>46145.0</v>
      </c>
      <c r="H21" s="21">
        <v>5722.0</v>
      </c>
      <c r="I21" s="21">
        <v>26.82</v>
      </c>
      <c r="K21" s="13">
        <v>46107.0</v>
      </c>
      <c r="L21" s="47" t="s">
        <v>534</v>
      </c>
      <c r="M21" s="47" t="s">
        <v>525</v>
      </c>
      <c r="N21" s="21" t="s">
        <v>485</v>
      </c>
      <c r="O21" s="19">
        <v>355.0</v>
      </c>
      <c r="P21" s="19">
        <v>3807.0</v>
      </c>
      <c r="Q21" s="47" t="s">
        <v>490</v>
      </c>
      <c r="R21" s="76" t="s">
        <v>487</v>
      </c>
      <c r="S21" s="76" t="s">
        <v>488</v>
      </c>
    </row>
    <row r="22">
      <c r="A22" s="12"/>
      <c r="B22" s="12"/>
      <c r="C22" s="12"/>
      <c r="D22" s="12"/>
      <c r="E22" s="12"/>
      <c r="G22" s="13">
        <v>46153.0</v>
      </c>
      <c r="H22" s="21">
        <v>6088.0</v>
      </c>
      <c r="I22" s="21">
        <v>41.1</v>
      </c>
      <c r="K22" s="13">
        <v>46110.0</v>
      </c>
      <c r="L22" s="47" t="s">
        <v>535</v>
      </c>
      <c r="M22" s="47"/>
      <c r="N22" s="21"/>
      <c r="O22" s="19"/>
      <c r="P22" s="19"/>
      <c r="Q22" s="47" t="s">
        <v>490</v>
      </c>
      <c r="R22" s="76" t="s">
        <v>521</v>
      </c>
      <c r="S22" s="76" t="s">
        <v>488</v>
      </c>
    </row>
    <row r="23">
      <c r="A23" s="12"/>
      <c r="B23" s="12"/>
      <c r="C23" s="12"/>
      <c r="D23" s="12"/>
      <c r="E23" s="12"/>
      <c r="G23" s="13">
        <v>46160.0</v>
      </c>
      <c r="H23" s="21">
        <v>6559.0</v>
      </c>
      <c r="I23" s="21">
        <v>47.0</v>
      </c>
      <c r="K23" s="13">
        <v>46111.0</v>
      </c>
      <c r="L23" s="47" t="s">
        <v>536</v>
      </c>
      <c r="M23" s="47"/>
      <c r="N23" s="21"/>
      <c r="O23" s="19"/>
      <c r="P23" s="19"/>
      <c r="Q23" s="47" t="s">
        <v>490</v>
      </c>
      <c r="R23" s="76" t="s">
        <v>521</v>
      </c>
      <c r="S23" s="76" t="s">
        <v>488</v>
      </c>
    </row>
    <row r="24">
      <c r="A24" s="12"/>
      <c r="B24" s="12"/>
      <c r="C24" s="12"/>
      <c r="D24" s="12"/>
      <c r="E24" s="12"/>
      <c r="G24" s="13">
        <v>46170.0</v>
      </c>
      <c r="H24" s="21">
        <v>6966.0</v>
      </c>
      <c r="I24" s="21">
        <v>54.0</v>
      </c>
      <c r="K24" s="13">
        <v>46112.0</v>
      </c>
      <c r="L24" s="47" t="s">
        <v>537</v>
      </c>
      <c r="M24" s="47"/>
      <c r="N24" s="21"/>
      <c r="O24" s="19"/>
      <c r="P24" s="19"/>
      <c r="Q24" s="47" t="s">
        <v>490</v>
      </c>
      <c r="R24" s="76" t="s">
        <v>521</v>
      </c>
      <c r="S24" s="76" t="s">
        <v>488</v>
      </c>
    </row>
    <row r="25">
      <c r="A25" s="12"/>
      <c r="B25" s="12"/>
      <c r="C25" s="12"/>
      <c r="D25" s="12"/>
      <c r="E25" s="12"/>
      <c r="G25" s="13">
        <v>46176.0</v>
      </c>
      <c r="H25" s="21">
        <v>7280.0</v>
      </c>
      <c r="I25" s="21">
        <v>25.0</v>
      </c>
      <c r="K25" s="13">
        <v>46113.0</v>
      </c>
      <c r="L25" s="47" t="s">
        <v>538</v>
      </c>
      <c r="M25" s="47"/>
      <c r="N25" s="21"/>
      <c r="O25" s="19"/>
      <c r="P25" s="19"/>
      <c r="Q25" s="47" t="s">
        <v>490</v>
      </c>
      <c r="R25" s="76" t="s">
        <v>487</v>
      </c>
      <c r="S25" s="76" t="s">
        <v>488</v>
      </c>
    </row>
    <row r="26">
      <c r="A26" s="12"/>
      <c r="B26" s="12"/>
      <c r="C26" s="12"/>
      <c r="D26" s="12"/>
      <c r="E26" s="12"/>
      <c r="G26" s="13">
        <v>46181.0</v>
      </c>
      <c r="H26" s="21">
        <v>7558.0</v>
      </c>
      <c r="I26" s="21">
        <v>35.0</v>
      </c>
      <c r="K26" s="13">
        <v>46117.0</v>
      </c>
      <c r="L26" s="47" t="s">
        <v>539</v>
      </c>
      <c r="M26" s="47"/>
      <c r="N26" s="21"/>
      <c r="O26" s="19"/>
      <c r="P26" s="19"/>
      <c r="Q26" s="47" t="s">
        <v>490</v>
      </c>
      <c r="R26" s="76" t="s">
        <v>521</v>
      </c>
      <c r="S26" s="76" t="s">
        <v>488</v>
      </c>
    </row>
    <row r="27">
      <c r="A27" s="12"/>
      <c r="B27" s="12"/>
      <c r="C27" s="12"/>
      <c r="D27" s="12"/>
      <c r="E27" s="12"/>
      <c r="G27" s="13">
        <v>46184.0</v>
      </c>
      <c r="H27" s="21">
        <v>8105.0</v>
      </c>
      <c r="I27" s="21">
        <v>55.0</v>
      </c>
      <c r="K27" s="13">
        <v>46118.0</v>
      </c>
      <c r="L27" s="47" t="s">
        <v>540</v>
      </c>
      <c r="M27" s="47" t="s">
        <v>525</v>
      </c>
      <c r="N27" s="21" t="s">
        <v>485</v>
      </c>
      <c r="O27" s="19">
        <v>355.0</v>
      </c>
      <c r="P27" s="19">
        <v>3452.0</v>
      </c>
      <c r="Q27" s="47" t="s">
        <v>490</v>
      </c>
      <c r="R27" s="76" t="s">
        <v>487</v>
      </c>
      <c r="S27" s="76" t="s">
        <v>488</v>
      </c>
    </row>
    <row r="28">
      <c r="A28" s="12"/>
      <c r="B28" s="12"/>
      <c r="C28" s="12"/>
      <c r="D28" s="12"/>
      <c r="E28" s="12"/>
      <c r="G28" s="13">
        <v>46189.0</v>
      </c>
      <c r="H28" s="21">
        <v>8584.0</v>
      </c>
      <c r="I28" s="21">
        <v>48.0</v>
      </c>
      <c r="K28" s="13">
        <v>46119.0</v>
      </c>
      <c r="L28" s="47" t="s">
        <v>541</v>
      </c>
      <c r="M28" s="76"/>
      <c r="N28" s="21"/>
      <c r="O28" s="19"/>
      <c r="P28" s="19"/>
      <c r="Q28" s="47" t="s">
        <v>490</v>
      </c>
      <c r="R28" s="76" t="s">
        <v>487</v>
      </c>
      <c r="S28" s="76" t="s">
        <v>488</v>
      </c>
    </row>
    <row r="29">
      <c r="G29" s="13">
        <v>46195.0</v>
      </c>
      <c r="H29" s="21">
        <v>8810.0</v>
      </c>
      <c r="I29" s="21">
        <v>51.64</v>
      </c>
      <c r="K29" s="13">
        <v>46120.0</v>
      </c>
      <c r="L29" s="47" t="s">
        <v>542</v>
      </c>
      <c r="M29" s="47"/>
      <c r="N29" s="21"/>
      <c r="O29" s="19"/>
      <c r="P29" s="19"/>
      <c r="Q29" s="47" t="s">
        <v>490</v>
      </c>
      <c r="R29" s="76" t="s">
        <v>487</v>
      </c>
      <c r="S29" s="76" t="s">
        <v>488</v>
      </c>
    </row>
    <row r="30">
      <c r="G30" s="13">
        <v>46202.0</v>
      </c>
      <c r="H30" s="21">
        <v>9275.0</v>
      </c>
      <c r="I30" s="21">
        <v>47.0</v>
      </c>
      <c r="K30" s="13">
        <v>46124.0</v>
      </c>
      <c r="L30" s="47" t="s">
        <v>543</v>
      </c>
      <c r="M30" s="47"/>
      <c r="N30" s="21"/>
      <c r="O30" s="19"/>
      <c r="P30" s="19"/>
      <c r="Q30" s="47" t="s">
        <v>490</v>
      </c>
      <c r="R30" s="76" t="s">
        <v>521</v>
      </c>
      <c r="S30" s="76" t="s">
        <v>488</v>
      </c>
    </row>
    <row r="31">
      <c r="G31" s="13">
        <v>46209.0</v>
      </c>
      <c r="H31" s="21">
        <v>9620.0</v>
      </c>
      <c r="I31" s="21">
        <v>34.89</v>
      </c>
      <c r="K31" s="13">
        <v>46125.0</v>
      </c>
      <c r="L31" s="47" t="s">
        <v>544</v>
      </c>
      <c r="M31" s="47"/>
      <c r="N31" s="21"/>
      <c r="O31" s="19"/>
      <c r="P31" s="19"/>
      <c r="Q31" s="47" t="s">
        <v>490</v>
      </c>
      <c r="R31" s="76" t="s">
        <v>487</v>
      </c>
      <c r="S31" s="76" t="s">
        <v>488</v>
      </c>
    </row>
    <row r="32">
      <c r="G32" s="13">
        <v>46216.0</v>
      </c>
      <c r="H32" s="21">
        <v>10020.0</v>
      </c>
      <c r="I32" s="21">
        <v>40.0</v>
      </c>
      <c r="K32" s="13">
        <v>46126.0</v>
      </c>
      <c r="L32" s="47" t="s">
        <v>545</v>
      </c>
      <c r="M32" s="47"/>
      <c r="N32" s="21"/>
      <c r="O32" s="19"/>
      <c r="P32" s="19"/>
      <c r="Q32" s="47" t="s">
        <v>490</v>
      </c>
      <c r="R32" s="76" t="s">
        <v>487</v>
      </c>
      <c r="S32" s="76" t="s">
        <v>488</v>
      </c>
    </row>
    <row r="33">
      <c r="G33" s="13">
        <v>46220.0</v>
      </c>
      <c r="H33" s="21">
        <v>10423.0</v>
      </c>
      <c r="I33" s="21">
        <v>53.0</v>
      </c>
      <c r="K33" s="13">
        <v>46127.0</v>
      </c>
      <c r="L33" s="47" t="s">
        <v>546</v>
      </c>
      <c r="M33" s="47" t="s">
        <v>493</v>
      </c>
      <c r="N33" s="21" t="s">
        <v>485</v>
      </c>
      <c r="O33" s="19">
        <v>355.0</v>
      </c>
      <c r="P33" s="19">
        <v>3097.0</v>
      </c>
      <c r="Q33" s="47" t="s">
        <v>490</v>
      </c>
      <c r="R33" s="76" t="s">
        <v>521</v>
      </c>
      <c r="S33" s="76" t="s">
        <v>488</v>
      </c>
    </row>
    <row r="34">
      <c r="G34" s="13">
        <v>46226.0</v>
      </c>
      <c r="H34" s="21">
        <v>11928.0</v>
      </c>
      <c r="I34" s="21">
        <v>46.44</v>
      </c>
      <c r="K34" s="13">
        <v>46128.0</v>
      </c>
      <c r="L34" s="47" t="s">
        <v>547</v>
      </c>
      <c r="M34" s="47" t="s">
        <v>548</v>
      </c>
      <c r="N34" s="21" t="s">
        <v>485</v>
      </c>
      <c r="O34" s="19">
        <v>316.0</v>
      </c>
      <c r="P34" s="19">
        <v>2781.0</v>
      </c>
      <c r="Q34" s="47" t="s">
        <v>490</v>
      </c>
      <c r="R34" s="76" t="s">
        <v>487</v>
      </c>
      <c r="S34" s="76" t="s">
        <v>488</v>
      </c>
    </row>
    <row r="35">
      <c r="G35" s="13">
        <v>46232.0</v>
      </c>
      <c r="H35" s="21">
        <v>11488.0</v>
      </c>
      <c r="I35" s="21">
        <v>53.94</v>
      </c>
      <c r="K35" s="13">
        <v>46132.0</v>
      </c>
      <c r="L35" s="47" t="s">
        <v>549</v>
      </c>
      <c r="M35" s="47"/>
      <c r="N35" s="21"/>
      <c r="O35" s="19"/>
      <c r="P35" s="19"/>
      <c r="Q35" s="47" t="s">
        <v>490</v>
      </c>
      <c r="R35" s="76" t="s">
        <v>487</v>
      </c>
      <c r="S35" s="76" t="s">
        <v>488</v>
      </c>
    </row>
    <row r="36">
      <c r="G36" s="13">
        <v>46236.0</v>
      </c>
      <c r="H36" s="21">
        <v>11757.0</v>
      </c>
      <c r="I36" s="21">
        <v>25.0</v>
      </c>
      <c r="K36" s="13">
        <v>46133.0</v>
      </c>
      <c r="L36" s="47" t="s">
        <v>551</v>
      </c>
      <c r="M36" s="47"/>
      <c r="N36" s="21"/>
      <c r="O36" s="19"/>
      <c r="P36" s="19"/>
      <c r="Q36" s="47" t="s">
        <v>490</v>
      </c>
      <c r="R36" s="76" t="s">
        <v>552</v>
      </c>
      <c r="S36" s="76" t="s">
        <v>488</v>
      </c>
    </row>
    <row r="37">
      <c r="G37" s="13">
        <v>46244.0</v>
      </c>
      <c r="H37" s="21">
        <v>12153.0</v>
      </c>
      <c r="I37" s="21">
        <v>36.95</v>
      </c>
      <c r="K37" s="13">
        <v>46134.0</v>
      </c>
      <c r="L37" s="47" t="s">
        <v>553</v>
      </c>
      <c r="M37" s="47" t="s">
        <v>493</v>
      </c>
      <c r="N37" s="21" t="s">
        <v>485</v>
      </c>
      <c r="O37" s="19">
        <v>355.0</v>
      </c>
      <c r="P37" s="19">
        <v>2426.0</v>
      </c>
      <c r="Q37" s="47" t="s">
        <v>554</v>
      </c>
      <c r="R37" s="76" t="s">
        <v>555</v>
      </c>
      <c r="S37" s="76" t="s">
        <v>488</v>
      </c>
    </row>
    <row r="38">
      <c r="G38" s="13">
        <v>46251.0</v>
      </c>
      <c r="H38" s="21">
        <v>12455.0</v>
      </c>
      <c r="I38" s="21">
        <v>28.5</v>
      </c>
      <c r="K38" s="13">
        <v>46135.0</v>
      </c>
      <c r="L38" s="47" t="s">
        <v>556</v>
      </c>
      <c r="M38" s="47" t="s">
        <v>525</v>
      </c>
      <c r="N38" s="21" t="s">
        <v>485</v>
      </c>
      <c r="O38" s="19">
        <v>355.0</v>
      </c>
      <c r="P38" s="19">
        <v>2071.0</v>
      </c>
      <c r="Q38" s="47" t="s">
        <v>490</v>
      </c>
      <c r="R38" s="76" t="s">
        <v>557</v>
      </c>
      <c r="S38" s="76" t="s">
        <v>488</v>
      </c>
    </row>
    <row r="39">
      <c r="G39" s="13">
        <v>46258.0</v>
      </c>
      <c r="H39" s="21">
        <v>13032.0</v>
      </c>
      <c r="I39" s="21">
        <v>51.09</v>
      </c>
      <c r="K39" s="13">
        <v>46136.0</v>
      </c>
      <c r="L39" s="47" t="s">
        <v>558</v>
      </c>
      <c r="M39" s="47" t="s">
        <v>559</v>
      </c>
      <c r="N39" s="21" t="s">
        <v>485</v>
      </c>
      <c r="O39" s="19">
        <v>300.0</v>
      </c>
      <c r="P39" s="19">
        <v>1416.0</v>
      </c>
      <c r="Q39" s="47"/>
      <c r="R39" s="47" t="s">
        <v>560</v>
      </c>
      <c r="S39" s="47" t="s">
        <v>561</v>
      </c>
    </row>
    <row r="40">
      <c r="G40" s="13">
        <v>46261.0</v>
      </c>
      <c r="H40" s="21">
        <v>13578.0</v>
      </c>
      <c r="I40" s="21">
        <v>40.0</v>
      </c>
      <c r="K40" s="13">
        <v>46139.0</v>
      </c>
      <c r="L40" s="47" t="s">
        <v>562</v>
      </c>
      <c r="M40" s="47" t="s">
        <v>484</v>
      </c>
      <c r="N40" s="21" t="s">
        <v>485</v>
      </c>
      <c r="O40" s="19">
        <v>316.0</v>
      </c>
      <c r="P40" s="19">
        <v>1100.0</v>
      </c>
      <c r="Q40" s="47" t="s">
        <v>490</v>
      </c>
      <c r="R40" s="47" t="s">
        <v>487</v>
      </c>
      <c r="S40" s="76" t="s">
        <v>488</v>
      </c>
    </row>
    <row r="41">
      <c r="G41" s="13">
        <v>46272.0</v>
      </c>
      <c r="H41" s="21">
        <v>13874.0</v>
      </c>
      <c r="I41" s="21">
        <v>40.0</v>
      </c>
      <c r="K41" s="13">
        <v>46140.0</v>
      </c>
      <c r="L41" s="47" t="s">
        <v>563</v>
      </c>
      <c r="M41" s="47" t="s">
        <v>525</v>
      </c>
      <c r="N41" s="21" t="s">
        <v>485</v>
      </c>
      <c r="O41" s="19">
        <v>355.0</v>
      </c>
      <c r="P41" s="19">
        <v>745.0</v>
      </c>
      <c r="Q41" s="47" t="s">
        <v>490</v>
      </c>
      <c r="R41" s="47" t="s">
        <v>564</v>
      </c>
      <c r="S41" s="76" t="s">
        <v>488</v>
      </c>
    </row>
    <row r="42">
      <c r="G42" s="13">
        <v>46281.0</v>
      </c>
      <c r="H42" s="21">
        <v>14323.0</v>
      </c>
      <c r="I42" s="21">
        <v>30.0</v>
      </c>
      <c r="K42" s="13">
        <v>46141.0</v>
      </c>
      <c r="L42" s="47" t="s">
        <v>565</v>
      </c>
      <c r="M42" s="47"/>
      <c r="N42" s="21"/>
      <c r="O42" s="19"/>
      <c r="P42" s="19"/>
      <c r="Q42" s="47" t="s">
        <v>490</v>
      </c>
      <c r="R42" s="47" t="s">
        <v>487</v>
      </c>
      <c r="S42" s="76" t="s">
        <v>488</v>
      </c>
    </row>
    <row r="43">
      <c r="G43" s="13">
        <v>46285.0</v>
      </c>
      <c r="H43" s="21">
        <v>14547.0</v>
      </c>
      <c r="I43" s="21">
        <v>31.89</v>
      </c>
      <c r="K43" s="13">
        <v>46142.0</v>
      </c>
      <c r="L43" s="47" t="s">
        <v>566</v>
      </c>
      <c r="M43" s="47" t="s">
        <v>493</v>
      </c>
      <c r="N43" s="21" t="s">
        <v>485</v>
      </c>
      <c r="O43" s="19">
        <v>355.0</v>
      </c>
      <c r="P43" s="19">
        <v>390.0</v>
      </c>
      <c r="Q43" s="47" t="s">
        <v>490</v>
      </c>
      <c r="R43" s="76" t="s">
        <v>521</v>
      </c>
      <c r="S43" s="76" t="s">
        <v>488</v>
      </c>
    </row>
    <row r="44">
      <c r="G44" s="13">
        <v>46290.0</v>
      </c>
      <c r="H44" s="21">
        <v>14942.0</v>
      </c>
      <c r="I44" s="21">
        <v>46.6</v>
      </c>
      <c r="K44" s="13">
        <v>46143.0</v>
      </c>
      <c r="L44" s="47" t="s">
        <v>567</v>
      </c>
      <c r="M44" s="47"/>
      <c r="N44" s="21"/>
      <c r="O44" s="19"/>
      <c r="P44" s="19"/>
      <c r="Q44" s="47" t="s">
        <v>490</v>
      </c>
      <c r="R44" s="76" t="s">
        <v>568</v>
      </c>
      <c r="S44" s="76" t="s">
        <v>488</v>
      </c>
    </row>
    <row r="45">
      <c r="G45" s="13">
        <v>46299.0</v>
      </c>
      <c r="H45" s="21">
        <v>15357.0</v>
      </c>
      <c r="I45" s="21">
        <v>40.0</v>
      </c>
      <c r="K45" s="13">
        <v>46145.0</v>
      </c>
      <c r="L45" s="47" t="s">
        <v>569</v>
      </c>
      <c r="M45" s="47"/>
      <c r="N45" s="21"/>
      <c r="O45" s="19"/>
      <c r="P45" s="19"/>
      <c r="Q45" s="47" t="s">
        <v>490</v>
      </c>
      <c r="R45" s="76" t="s">
        <v>521</v>
      </c>
      <c r="S45" s="76" t="s">
        <v>488</v>
      </c>
    </row>
    <row r="46">
      <c r="G46" s="12"/>
      <c r="H46" s="12"/>
      <c r="I46" s="12"/>
      <c r="K46" s="13">
        <v>46146.0</v>
      </c>
      <c r="L46" s="47" t="s">
        <v>571</v>
      </c>
      <c r="M46" s="47"/>
      <c r="N46" s="21"/>
      <c r="O46" s="19"/>
      <c r="P46" s="19"/>
      <c r="Q46" s="47" t="s">
        <v>490</v>
      </c>
      <c r="R46" s="47" t="s">
        <v>572</v>
      </c>
      <c r="S46" s="76" t="s">
        <v>488</v>
      </c>
    </row>
    <row r="47">
      <c r="G47" s="12"/>
      <c r="H47" s="12"/>
      <c r="I47" s="12"/>
      <c r="K47" s="13">
        <v>46147.0</v>
      </c>
      <c r="L47" s="47" t="s">
        <v>573</v>
      </c>
      <c r="M47" s="47"/>
      <c r="N47" s="21"/>
      <c r="O47" s="19"/>
      <c r="P47" s="19"/>
      <c r="Q47" s="47" t="s">
        <v>490</v>
      </c>
      <c r="R47" s="47" t="s">
        <v>487</v>
      </c>
      <c r="S47" s="76" t="s">
        <v>488</v>
      </c>
    </row>
    <row r="48">
      <c r="G48" s="12"/>
      <c r="H48" s="12"/>
      <c r="I48" s="12"/>
      <c r="K48" s="13">
        <v>46148.0</v>
      </c>
      <c r="L48" s="47" t="s">
        <v>574</v>
      </c>
      <c r="M48" s="47"/>
      <c r="N48" s="21"/>
      <c r="O48" s="19"/>
      <c r="P48" s="19"/>
      <c r="Q48" s="47" t="s">
        <v>490</v>
      </c>
      <c r="R48" s="47" t="s">
        <v>487</v>
      </c>
      <c r="S48" s="76" t="s">
        <v>488</v>
      </c>
    </row>
    <row r="49">
      <c r="G49" s="12"/>
      <c r="H49" s="12"/>
      <c r="I49" s="12"/>
      <c r="K49" s="13">
        <v>46149.0</v>
      </c>
      <c r="L49" s="47" t="s">
        <v>575</v>
      </c>
      <c r="M49" s="47"/>
      <c r="N49" s="21"/>
      <c r="O49" s="19"/>
      <c r="P49" s="19"/>
      <c r="Q49" s="47" t="s">
        <v>490</v>
      </c>
      <c r="R49" s="76" t="s">
        <v>521</v>
      </c>
      <c r="S49" s="76" t="s">
        <v>488</v>
      </c>
    </row>
    <row r="50">
      <c r="G50" s="12"/>
      <c r="H50" s="12"/>
      <c r="I50" s="12"/>
      <c r="K50" s="13">
        <v>46151.0</v>
      </c>
      <c r="L50" s="47" t="s">
        <v>577</v>
      </c>
      <c r="M50" s="47" t="s">
        <v>512</v>
      </c>
      <c r="N50" s="21" t="s">
        <v>579</v>
      </c>
      <c r="O50" s="19">
        <v>272.0</v>
      </c>
      <c r="P50" s="19">
        <v>5118.0</v>
      </c>
      <c r="Q50" s="47" t="s">
        <v>490</v>
      </c>
      <c r="R50" s="47" t="s">
        <v>580</v>
      </c>
      <c r="S50" s="76" t="s">
        <v>581</v>
      </c>
    </row>
    <row r="51">
      <c r="G51" s="12"/>
      <c r="H51" s="12"/>
      <c r="I51" s="12"/>
      <c r="K51" s="13">
        <v>46153.0</v>
      </c>
      <c r="L51" s="47" t="s">
        <v>583</v>
      </c>
      <c r="M51" s="47" t="s">
        <v>493</v>
      </c>
      <c r="N51" s="21" t="s">
        <v>485</v>
      </c>
      <c r="O51" s="19">
        <v>355.0</v>
      </c>
      <c r="P51" s="19">
        <v>4763.0</v>
      </c>
      <c r="Q51" s="47" t="s">
        <v>490</v>
      </c>
      <c r="R51" s="47" t="s">
        <v>584</v>
      </c>
      <c r="S51" s="76" t="s">
        <v>488</v>
      </c>
    </row>
    <row r="52">
      <c r="G52" s="12"/>
      <c r="H52" s="12"/>
      <c r="I52" s="12"/>
      <c r="K52" s="13">
        <v>46154.0</v>
      </c>
      <c r="L52" s="47" t="s">
        <v>585</v>
      </c>
      <c r="M52" s="47" t="s">
        <v>525</v>
      </c>
      <c r="N52" s="21" t="s">
        <v>485</v>
      </c>
      <c r="O52" s="19">
        <v>355.0</v>
      </c>
      <c r="P52" s="19">
        <v>4408.0</v>
      </c>
      <c r="Q52" s="47" t="s">
        <v>490</v>
      </c>
      <c r="R52" s="47" t="s">
        <v>487</v>
      </c>
      <c r="S52" s="76" t="s">
        <v>488</v>
      </c>
    </row>
    <row r="53">
      <c r="G53" s="12"/>
      <c r="H53" s="12"/>
      <c r="I53" s="12"/>
      <c r="K53" s="13">
        <v>46155.0</v>
      </c>
      <c r="L53" s="47" t="s">
        <v>587</v>
      </c>
      <c r="M53" s="47" t="s">
        <v>493</v>
      </c>
      <c r="N53" s="21" t="s">
        <v>485</v>
      </c>
      <c r="O53" s="19">
        <v>136.0</v>
      </c>
      <c r="P53" s="19">
        <v>4272.0</v>
      </c>
      <c r="Q53" s="47" t="s">
        <v>490</v>
      </c>
      <c r="R53" s="47" t="s">
        <v>588</v>
      </c>
      <c r="S53" s="76" t="s">
        <v>488</v>
      </c>
    </row>
    <row r="54">
      <c r="K54" s="13">
        <v>46156.0</v>
      </c>
      <c r="L54" s="47" t="s">
        <v>589</v>
      </c>
      <c r="M54" s="47" t="s">
        <v>518</v>
      </c>
      <c r="N54" s="21" t="s">
        <v>485</v>
      </c>
      <c r="O54" s="19">
        <v>136.0</v>
      </c>
      <c r="P54" s="19">
        <v>4136.0</v>
      </c>
      <c r="Q54" s="47" t="s">
        <v>490</v>
      </c>
      <c r="R54" s="47" t="s">
        <v>588</v>
      </c>
      <c r="S54" s="76" t="s">
        <v>488</v>
      </c>
    </row>
    <row r="55">
      <c r="K55" s="13">
        <v>46160.0</v>
      </c>
      <c r="L55" s="47" t="s">
        <v>591</v>
      </c>
      <c r="M55" s="47" t="s">
        <v>493</v>
      </c>
      <c r="N55" s="21" t="s">
        <v>485</v>
      </c>
      <c r="O55" s="19">
        <v>355.0</v>
      </c>
      <c r="P55" s="19">
        <v>3781.0</v>
      </c>
      <c r="Q55" s="47" t="s">
        <v>490</v>
      </c>
      <c r="R55" s="47" t="s">
        <v>487</v>
      </c>
      <c r="S55" s="76" t="s">
        <v>488</v>
      </c>
    </row>
    <row r="56">
      <c r="K56" s="13">
        <v>46161.0</v>
      </c>
      <c r="L56" s="47" t="s">
        <v>592</v>
      </c>
      <c r="M56" s="47"/>
      <c r="N56" s="21"/>
      <c r="O56" s="19"/>
      <c r="P56" s="19"/>
      <c r="Q56" s="47" t="s">
        <v>490</v>
      </c>
      <c r="R56" s="47" t="s">
        <v>593</v>
      </c>
      <c r="S56" s="76" t="s">
        <v>488</v>
      </c>
    </row>
    <row r="57">
      <c r="K57" s="13">
        <v>46162.0</v>
      </c>
      <c r="L57" s="47" t="s">
        <v>594</v>
      </c>
      <c r="M57" s="47"/>
      <c r="N57" s="21"/>
      <c r="O57" s="19"/>
      <c r="P57" s="19"/>
      <c r="Q57" s="47" t="s">
        <v>490</v>
      </c>
      <c r="R57" s="47" t="s">
        <v>596</v>
      </c>
      <c r="S57" s="76" t="s">
        <v>488</v>
      </c>
    </row>
    <row r="58">
      <c r="K58" s="13">
        <v>46163.0</v>
      </c>
      <c r="L58" s="47" t="s">
        <v>597</v>
      </c>
      <c r="M58" s="47"/>
      <c r="N58" s="21"/>
      <c r="O58" s="19"/>
      <c r="P58" s="19"/>
      <c r="Q58" s="47" t="s">
        <v>490</v>
      </c>
      <c r="R58" s="47" t="s">
        <v>584</v>
      </c>
      <c r="S58" s="76" t="s">
        <v>488</v>
      </c>
    </row>
    <row r="59">
      <c r="K59" s="13">
        <v>46167.0</v>
      </c>
      <c r="L59" s="47" t="s">
        <v>598</v>
      </c>
      <c r="M59" s="47"/>
      <c r="N59" s="21"/>
      <c r="O59" s="19"/>
      <c r="P59" s="19"/>
      <c r="Q59" s="47" t="s">
        <v>490</v>
      </c>
      <c r="R59" s="47" t="s">
        <v>521</v>
      </c>
      <c r="S59" s="76" t="s">
        <v>488</v>
      </c>
    </row>
    <row r="60">
      <c r="K60" s="13">
        <v>46168.0</v>
      </c>
      <c r="L60" s="47" t="s">
        <v>600</v>
      </c>
      <c r="M60" s="47" t="s">
        <v>601</v>
      </c>
      <c r="N60" s="21" t="s">
        <v>485</v>
      </c>
      <c r="O60" s="19">
        <v>308.0</v>
      </c>
      <c r="P60" s="19">
        <v>3473.0</v>
      </c>
      <c r="Q60" s="47" t="s">
        <v>602</v>
      </c>
      <c r="R60" s="47" t="s">
        <v>487</v>
      </c>
      <c r="S60" s="47" t="s">
        <v>603</v>
      </c>
    </row>
    <row r="61">
      <c r="K61" s="13">
        <v>46169.0</v>
      </c>
      <c r="L61" s="47" t="s">
        <v>605</v>
      </c>
      <c r="M61" s="47"/>
      <c r="N61" s="21"/>
      <c r="O61" s="19"/>
      <c r="P61" s="19"/>
      <c r="Q61" s="47" t="s">
        <v>490</v>
      </c>
      <c r="R61" s="76" t="s">
        <v>521</v>
      </c>
      <c r="S61" s="47" t="s">
        <v>606</v>
      </c>
    </row>
    <row r="62">
      <c r="K62" s="13">
        <v>46170.0</v>
      </c>
      <c r="L62" s="47" t="s">
        <v>607</v>
      </c>
      <c r="M62" s="84"/>
      <c r="N62" s="12"/>
      <c r="O62" s="12"/>
      <c r="P62" s="12"/>
      <c r="Q62" s="38" t="s">
        <v>602</v>
      </c>
      <c r="R62" s="38" t="s">
        <v>487</v>
      </c>
      <c r="S62" s="38" t="s">
        <v>603</v>
      </c>
    </row>
    <row r="63">
      <c r="K63" s="13">
        <v>46173.0</v>
      </c>
      <c r="L63" s="47" t="s">
        <v>609</v>
      </c>
      <c r="M63" s="84"/>
      <c r="N63" s="12"/>
      <c r="O63" s="12"/>
      <c r="P63" s="12"/>
      <c r="Q63" s="47" t="s">
        <v>490</v>
      </c>
      <c r="R63" s="76" t="s">
        <v>521</v>
      </c>
      <c r="S63" s="76" t="s">
        <v>488</v>
      </c>
    </row>
    <row r="64">
      <c r="K64" s="13">
        <v>46174.0</v>
      </c>
      <c r="L64" s="38" t="s">
        <v>611</v>
      </c>
      <c r="M64" s="84"/>
      <c r="N64" s="12"/>
      <c r="O64" s="12"/>
      <c r="P64" s="12"/>
      <c r="Q64" s="47" t="s">
        <v>490</v>
      </c>
      <c r="R64" s="38" t="s">
        <v>612</v>
      </c>
      <c r="S64" s="38" t="s">
        <v>613</v>
      </c>
    </row>
    <row r="65">
      <c r="K65" s="13">
        <v>46175.0</v>
      </c>
      <c r="L65" s="38" t="s">
        <v>614</v>
      </c>
      <c r="M65" s="38" t="s">
        <v>548</v>
      </c>
      <c r="N65" s="21" t="s">
        <v>485</v>
      </c>
      <c r="O65" s="21">
        <v>316.0</v>
      </c>
      <c r="P65" s="21">
        <v>3157.0</v>
      </c>
      <c r="Q65" s="47" t="s">
        <v>490</v>
      </c>
      <c r="R65" s="38" t="s">
        <v>615</v>
      </c>
      <c r="S65" s="38" t="s">
        <v>616</v>
      </c>
    </row>
    <row r="66">
      <c r="K66" s="13">
        <v>46176.0</v>
      </c>
      <c r="L66" s="38" t="s">
        <v>617</v>
      </c>
      <c r="M66" s="38" t="s">
        <v>618</v>
      </c>
      <c r="N66" s="21" t="s">
        <v>485</v>
      </c>
      <c r="O66" s="21">
        <v>355.0</v>
      </c>
      <c r="P66" s="21">
        <v>2802.0</v>
      </c>
      <c r="Q66" s="47" t="s">
        <v>490</v>
      </c>
      <c r="R66" s="38" t="s">
        <v>487</v>
      </c>
      <c r="S66" s="76" t="s">
        <v>488</v>
      </c>
    </row>
    <row r="67">
      <c r="K67" s="13">
        <v>46177.0</v>
      </c>
      <c r="L67" s="38" t="s">
        <v>620</v>
      </c>
      <c r="M67" s="38" t="s">
        <v>525</v>
      </c>
      <c r="N67" s="21" t="s">
        <v>485</v>
      </c>
      <c r="O67" s="21">
        <v>355.0</v>
      </c>
      <c r="P67" s="21">
        <v>2447.0</v>
      </c>
      <c r="Q67" s="47" t="s">
        <v>490</v>
      </c>
      <c r="R67" s="38" t="s">
        <v>622</v>
      </c>
      <c r="S67" s="76" t="s">
        <v>488</v>
      </c>
    </row>
    <row r="68">
      <c r="K68" s="13">
        <v>46181.0</v>
      </c>
      <c r="L68" s="38" t="s">
        <v>623</v>
      </c>
      <c r="M68" s="38" t="s">
        <v>493</v>
      </c>
      <c r="N68" s="21" t="s">
        <v>485</v>
      </c>
      <c r="O68" s="21">
        <v>355.0</v>
      </c>
      <c r="P68" s="21">
        <v>2092.0</v>
      </c>
      <c r="Q68" s="47" t="s">
        <v>490</v>
      </c>
      <c r="R68" s="38" t="s">
        <v>487</v>
      </c>
      <c r="S68" s="38" t="s">
        <v>624</v>
      </c>
    </row>
    <row r="69">
      <c r="K69" s="13">
        <v>46182.0</v>
      </c>
      <c r="L69" s="38" t="s">
        <v>625</v>
      </c>
      <c r="M69" s="84"/>
      <c r="N69" s="12"/>
      <c r="O69" s="12"/>
      <c r="P69" s="12"/>
      <c r="Q69" s="38" t="s">
        <v>626</v>
      </c>
      <c r="R69" s="38" t="s">
        <v>627</v>
      </c>
      <c r="S69" s="38" t="s">
        <v>616</v>
      </c>
    </row>
    <row r="70">
      <c r="K70" s="13">
        <v>46183.0</v>
      </c>
      <c r="L70" s="38" t="s">
        <v>628</v>
      </c>
      <c r="M70" s="84"/>
      <c r="N70" s="12"/>
      <c r="O70" s="12"/>
      <c r="P70" s="12"/>
      <c r="Q70" s="38" t="s">
        <v>629</v>
      </c>
      <c r="R70" s="84"/>
      <c r="S70" s="38" t="s">
        <v>630</v>
      </c>
    </row>
    <row r="71">
      <c r="K71" s="13">
        <v>46184.0</v>
      </c>
      <c r="L71" s="38" t="s">
        <v>631</v>
      </c>
      <c r="M71" s="38" t="s">
        <v>493</v>
      </c>
      <c r="N71" s="21" t="s">
        <v>485</v>
      </c>
      <c r="O71" s="21">
        <v>355.0</v>
      </c>
      <c r="P71" s="21">
        <v>1737.0</v>
      </c>
      <c r="Q71" s="47" t="s">
        <v>490</v>
      </c>
      <c r="R71" s="38" t="s">
        <v>521</v>
      </c>
      <c r="S71" s="76" t="s">
        <v>488</v>
      </c>
    </row>
    <row r="72">
      <c r="K72" s="13">
        <v>46185.0</v>
      </c>
      <c r="L72" s="38" t="s">
        <v>632</v>
      </c>
      <c r="M72" s="38" t="s">
        <v>525</v>
      </c>
      <c r="N72" s="21" t="s">
        <v>485</v>
      </c>
      <c r="O72" s="21">
        <v>355.0</v>
      </c>
      <c r="P72" s="21">
        <v>1382.0</v>
      </c>
      <c r="Q72" s="47" t="s">
        <v>490</v>
      </c>
      <c r="R72" s="38" t="s">
        <v>521</v>
      </c>
      <c r="S72" s="38" t="s">
        <v>634</v>
      </c>
    </row>
    <row r="73">
      <c r="K73" s="13">
        <v>46188.0</v>
      </c>
      <c r="L73" s="38" t="s">
        <v>635</v>
      </c>
      <c r="M73" s="38" t="s">
        <v>636</v>
      </c>
      <c r="N73" s="21" t="s">
        <v>485</v>
      </c>
      <c r="O73" s="21">
        <v>355.0</v>
      </c>
      <c r="P73" s="21">
        <v>1027.0</v>
      </c>
      <c r="Q73" s="47" t="s">
        <v>490</v>
      </c>
      <c r="R73" s="38" t="s">
        <v>637</v>
      </c>
      <c r="S73" s="38" t="s">
        <v>638</v>
      </c>
    </row>
    <row r="74">
      <c r="K74" s="13">
        <v>46189.0</v>
      </c>
      <c r="L74" s="38" t="s">
        <v>640</v>
      </c>
      <c r="M74" s="84"/>
      <c r="N74" s="12"/>
      <c r="O74" s="12"/>
      <c r="P74" s="12"/>
      <c r="Q74" s="47" t="s">
        <v>490</v>
      </c>
      <c r="R74" s="38" t="s">
        <v>641</v>
      </c>
      <c r="S74" s="38" t="s">
        <v>642</v>
      </c>
    </row>
    <row r="75">
      <c r="K75" s="13">
        <v>46190.0</v>
      </c>
      <c r="L75" s="38" t="s">
        <v>643</v>
      </c>
      <c r="M75" s="84"/>
      <c r="N75" s="12"/>
      <c r="O75" s="12"/>
      <c r="P75" s="12"/>
      <c r="Q75" s="47" t="s">
        <v>490</v>
      </c>
      <c r="R75" s="38" t="s">
        <v>641</v>
      </c>
      <c r="S75" s="38" t="s">
        <v>642</v>
      </c>
    </row>
    <row r="76">
      <c r="K76" s="13">
        <v>46191.0</v>
      </c>
      <c r="L76" s="38" t="s">
        <v>645</v>
      </c>
      <c r="M76" s="84"/>
      <c r="N76" s="12"/>
      <c r="O76" s="12"/>
      <c r="P76" s="12"/>
      <c r="Q76" s="47" t="s">
        <v>490</v>
      </c>
      <c r="R76" s="38" t="s">
        <v>641</v>
      </c>
      <c r="S76" s="38" t="s">
        <v>642</v>
      </c>
    </row>
    <row r="77">
      <c r="K77" s="13">
        <v>46195.0</v>
      </c>
      <c r="L77" s="38" t="s">
        <v>647</v>
      </c>
      <c r="M77" s="84"/>
      <c r="N77" s="12"/>
      <c r="O77" s="12"/>
      <c r="P77" s="12"/>
      <c r="Q77" s="47" t="s">
        <v>490</v>
      </c>
      <c r="R77" s="38" t="s">
        <v>521</v>
      </c>
      <c r="S77" s="76" t="s">
        <v>488</v>
      </c>
    </row>
    <row r="78">
      <c r="K78" s="13">
        <v>46196.0</v>
      </c>
      <c r="L78" s="38" t="s">
        <v>648</v>
      </c>
      <c r="M78" s="84"/>
      <c r="N78" s="12"/>
      <c r="O78" s="12"/>
      <c r="P78" s="12"/>
      <c r="Q78" s="47" t="s">
        <v>490</v>
      </c>
      <c r="R78" s="38" t="s">
        <v>649</v>
      </c>
      <c r="S78" s="76" t="s">
        <v>488</v>
      </c>
    </row>
    <row r="79">
      <c r="K79" s="13">
        <v>46197.0</v>
      </c>
      <c r="L79" s="38" t="s">
        <v>650</v>
      </c>
      <c r="M79" s="84"/>
      <c r="N79" s="12"/>
      <c r="O79" s="12"/>
      <c r="P79" s="12"/>
      <c r="Q79" s="38" t="s">
        <v>602</v>
      </c>
      <c r="R79" s="38" t="s">
        <v>521</v>
      </c>
      <c r="S79" s="38" t="s">
        <v>651</v>
      </c>
    </row>
    <row r="80">
      <c r="K80" s="13">
        <v>46198.0</v>
      </c>
      <c r="L80" s="38" t="s">
        <v>652</v>
      </c>
      <c r="M80" s="84"/>
      <c r="N80" s="12"/>
      <c r="O80" s="12"/>
      <c r="P80" s="12"/>
      <c r="Q80" s="47" t="s">
        <v>490</v>
      </c>
      <c r="R80" s="38" t="s">
        <v>653</v>
      </c>
      <c r="S80" s="38" t="s">
        <v>655</v>
      </c>
    </row>
    <row r="81">
      <c r="K81" s="13">
        <v>46199.0</v>
      </c>
      <c r="L81" s="38" t="s">
        <v>656</v>
      </c>
      <c r="M81" s="84"/>
      <c r="N81" s="12"/>
      <c r="O81" s="12"/>
      <c r="P81" s="12"/>
      <c r="Q81" s="47" t="s">
        <v>490</v>
      </c>
      <c r="R81" s="38" t="s">
        <v>657</v>
      </c>
      <c r="S81" s="38" t="s">
        <v>658</v>
      </c>
    </row>
    <row r="82">
      <c r="K82" s="13">
        <v>46200.0</v>
      </c>
      <c r="L82" s="38" t="s">
        <v>659</v>
      </c>
      <c r="M82" s="84"/>
      <c r="N82" s="12"/>
      <c r="O82" s="12"/>
      <c r="P82" s="12"/>
      <c r="Q82" s="47" t="s">
        <v>490</v>
      </c>
      <c r="R82" s="38" t="s">
        <v>657</v>
      </c>
      <c r="S82" s="38" t="s">
        <v>658</v>
      </c>
    </row>
    <row r="83">
      <c r="K83" s="13">
        <v>46202.0</v>
      </c>
      <c r="L83" s="38" t="s">
        <v>660</v>
      </c>
      <c r="M83" s="38" t="s">
        <v>493</v>
      </c>
      <c r="N83" s="21" t="s">
        <v>485</v>
      </c>
      <c r="O83" s="21">
        <v>355.0</v>
      </c>
      <c r="P83" s="21">
        <v>672.0</v>
      </c>
      <c r="Q83" s="47" t="s">
        <v>490</v>
      </c>
      <c r="R83" s="38" t="s">
        <v>661</v>
      </c>
      <c r="S83" s="38" t="s">
        <v>495</v>
      </c>
    </row>
    <row r="84">
      <c r="K84" s="13">
        <v>46203.0</v>
      </c>
      <c r="L84" s="38" t="s">
        <v>662</v>
      </c>
      <c r="M84" s="84"/>
      <c r="N84" s="12"/>
      <c r="O84" s="12"/>
      <c r="P84" s="12"/>
      <c r="Q84" s="47" t="s">
        <v>490</v>
      </c>
      <c r="R84" s="38" t="s">
        <v>521</v>
      </c>
      <c r="S84" s="38" t="s">
        <v>663</v>
      </c>
    </row>
    <row r="85">
      <c r="K85" s="13">
        <v>46204.0</v>
      </c>
      <c r="L85" s="76" t="s">
        <v>664</v>
      </c>
      <c r="M85" s="84"/>
      <c r="N85" s="12"/>
      <c r="O85" s="12"/>
      <c r="P85" s="12"/>
      <c r="Q85" s="47" t="s">
        <v>490</v>
      </c>
      <c r="R85" s="88" t="s">
        <v>521</v>
      </c>
      <c r="S85" s="38" t="s">
        <v>651</v>
      </c>
    </row>
    <row r="86">
      <c r="K86" s="13">
        <v>46205.0</v>
      </c>
      <c r="L86" s="76" t="s">
        <v>665</v>
      </c>
      <c r="M86" s="84"/>
      <c r="N86" s="12"/>
      <c r="O86" s="12"/>
      <c r="P86" s="12"/>
      <c r="Q86" s="47" t="s">
        <v>490</v>
      </c>
      <c r="R86" s="89" t="s">
        <v>666</v>
      </c>
      <c r="S86" s="38" t="s">
        <v>667</v>
      </c>
    </row>
    <row r="87">
      <c r="K87" s="13">
        <v>46209.0</v>
      </c>
      <c r="L87" s="76" t="s">
        <v>668</v>
      </c>
      <c r="M87" s="38" t="s">
        <v>484</v>
      </c>
      <c r="N87" s="21" t="s">
        <v>485</v>
      </c>
      <c r="O87" s="21">
        <v>316.0</v>
      </c>
      <c r="P87" s="21">
        <v>356.0</v>
      </c>
      <c r="Q87" s="47" t="s">
        <v>490</v>
      </c>
      <c r="R87" s="88" t="s">
        <v>521</v>
      </c>
      <c r="S87" s="38" t="s">
        <v>669</v>
      </c>
    </row>
    <row r="88">
      <c r="K88" s="13">
        <v>46210.0</v>
      </c>
      <c r="L88" s="76" t="s">
        <v>670</v>
      </c>
      <c r="M88" s="84"/>
      <c r="N88" s="12"/>
      <c r="O88" s="12"/>
      <c r="P88" s="12"/>
      <c r="Q88" s="47" t="s">
        <v>671</v>
      </c>
      <c r="R88" s="88" t="s">
        <v>521</v>
      </c>
      <c r="S88" s="38" t="s">
        <v>669</v>
      </c>
    </row>
    <row r="89">
      <c r="K89" s="13">
        <v>46211.0</v>
      </c>
      <c r="L89" s="76" t="s">
        <v>672</v>
      </c>
      <c r="M89" s="84"/>
      <c r="N89" s="12"/>
      <c r="O89" s="12"/>
      <c r="P89" s="12"/>
      <c r="Q89" s="47" t="s">
        <v>490</v>
      </c>
      <c r="R89" s="38" t="s">
        <v>673</v>
      </c>
      <c r="S89" s="38" t="s">
        <v>674</v>
      </c>
    </row>
    <row r="90">
      <c r="K90" s="13">
        <v>46212.0</v>
      </c>
      <c r="L90" s="76" t="s">
        <v>675</v>
      </c>
      <c r="M90" s="38" t="s">
        <v>548</v>
      </c>
      <c r="N90" s="21" t="s">
        <v>676</v>
      </c>
      <c r="O90" s="21">
        <v>316.0</v>
      </c>
      <c r="P90" s="21">
        <v>10094.0</v>
      </c>
      <c r="Q90" s="47" t="s">
        <v>677</v>
      </c>
      <c r="R90" s="38" t="s">
        <v>521</v>
      </c>
      <c r="S90" s="38" t="s">
        <v>678</v>
      </c>
    </row>
    <row r="91">
      <c r="K91" s="13">
        <v>46216.0</v>
      </c>
      <c r="L91" s="76" t="s">
        <v>679</v>
      </c>
      <c r="M91" s="38" t="s">
        <v>636</v>
      </c>
      <c r="N91" s="21" t="s">
        <v>485</v>
      </c>
      <c r="O91" s="21">
        <v>355.0</v>
      </c>
      <c r="P91" s="21">
        <v>9689.0</v>
      </c>
      <c r="Q91" s="47" t="s">
        <v>490</v>
      </c>
      <c r="R91" s="38" t="s">
        <v>521</v>
      </c>
      <c r="S91" s="76" t="s">
        <v>488</v>
      </c>
    </row>
    <row r="92">
      <c r="K92" s="13">
        <v>46217.0</v>
      </c>
      <c r="L92" s="76" t="s">
        <v>680</v>
      </c>
      <c r="M92" s="84"/>
      <c r="N92" s="12"/>
      <c r="O92" s="12"/>
      <c r="P92" s="12"/>
      <c r="Q92" s="47" t="s">
        <v>490</v>
      </c>
      <c r="R92" s="38" t="s">
        <v>622</v>
      </c>
      <c r="S92" s="38" t="s">
        <v>638</v>
      </c>
    </row>
    <row r="93">
      <c r="K93" s="13">
        <v>46218.0</v>
      </c>
      <c r="L93" s="76" t="s">
        <v>681</v>
      </c>
      <c r="M93" s="84"/>
      <c r="N93" s="12"/>
      <c r="O93" s="12"/>
      <c r="P93" s="12"/>
      <c r="Q93" s="47" t="s">
        <v>490</v>
      </c>
      <c r="R93" s="38" t="s">
        <v>521</v>
      </c>
      <c r="S93" s="38" t="s">
        <v>638</v>
      </c>
    </row>
    <row r="94">
      <c r="K94" s="13">
        <v>46219.0</v>
      </c>
      <c r="L94" s="76" t="s">
        <v>682</v>
      </c>
      <c r="M94" s="84"/>
      <c r="N94" s="12"/>
      <c r="O94" s="12"/>
      <c r="P94" s="12"/>
      <c r="Q94" s="47" t="s">
        <v>490</v>
      </c>
      <c r="R94" s="38" t="s">
        <v>521</v>
      </c>
      <c r="S94" s="38" t="s">
        <v>638</v>
      </c>
    </row>
    <row r="95">
      <c r="K95" s="13">
        <v>46220.0</v>
      </c>
      <c r="L95" s="76" t="s">
        <v>683</v>
      </c>
      <c r="M95" s="38" t="s">
        <v>559</v>
      </c>
      <c r="N95" s="21" t="s">
        <v>485</v>
      </c>
      <c r="O95" s="21">
        <v>300.0</v>
      </c>
      <c r="P95" s="21">
        <v>9389.0</v>
      </c>
      <c r="Q95" s="38" t="s">
        <v>602</v>
      </c>
      <c r="R95" s="38" t="s">
        <v>509</v>
      </c>
      <c r="S95" s="38" t="s">
        <v>561</v>
      </c>
    </row>
    <row r="96">
      <c r="K96" s="13">
        <v>46222.0</v>
      </c>
      <c r="L96" s="76" t="s">
        <v>684</v>
      </c>
      <c r="M96" s="84"/>
      <c r="N96" s="12"/>
      <c r="O96" s="12"/>
      <c r="P96" s="12"/>
      <c r="Q96" s="47" t="s">
        <v>490</v>
      </c>
      <c r="R96" s="88" t="s">
        <v>521</v>
      </c>
      <c r="S96" s="76" t="s">
        <v>488</v>
      </c>
    </row>
    <row r="97">
      <c r="K97" s="13">
        <v>46223.0</v>
      </c>
      <c r="L97" s="76" t="s">
        <v>685</v>
      </c>
      <c r="M97" s="38" t="s">
        <v>548</v>
      </c>
      <c r="N97" s="21" t="s">
        <v>485</v>
      </c>
      <c r="O97" s="21">
        <v>316.0</v>
      </c>
      <c r="P97" s="21">
        <v>8716.0</v>
      </c>
      <c r="Q97" s="38" t="s">
        <v>602</v>
      </c>
      <c r="R97" s="38" t="s">
        <v>487</v>
      </c>
      <c r="S97" s="38" t="s">
        <v>651</v>
      </c>
    </row>
    <row r="98">
      <c r="K98" s="13">
        <v>46224.0</v>
      </c>
      <c r="L98" s="76" t="s">
        <v>686</v>
      </c>
      <c r="M98" s="38" t="s">
        <v>525</v>
      </c>
      <c r="N98" s="21" t="s">
        <v>485</v>
      </c>
      <c r="O98" s="21">
        <v>355.0</v>
      </c>
      <c r="P98" s="21">
        <v>8361.0</v>
      </c>
      <c r="Q98" s="38" t="s">
        <v>687</v>
      </c>
      <c r="R98" s="38" t="s">
        <v>688</v>
      </c>
      <c r="S98" s="38" t="s">
        <v>689</v>
      </c>
    </row>
    <row r="99">
      <c r="K99" s="13">
        <v>46225.0</v>
      </c>
      <c r="L99" s="76" t="s">
        <v>690</v>
      </c>
      <c r="M99" s="84"/>
      <c r="N99" s="12"/>
      <c r="O99" s="12"/>
      <c r="P99" s="12"/>
      <c r="Q99" s="47" t="s">
        <v>490</v>
      </c>
      <c r="R99" s="38" t="s">
        <v>691</v>
      </c>
      <c r="S99" s="76" t="s">
        <v>488</v>
      </c>
    </row>
    <row r="100">
      <c r="K100" s="13">
        <v>46226.0</v>
      </c>
      <c r="L100" s="76" t="s">
        <v>692</v>
      </c>
      <c r="M100" s="38" t="s">
        <v>493</v>
      </c>
      <c r="N100" s="21" t="s">
        <v>485</v>
      </c>
      <c r="O100" s="21">
        <v>1026.0</v>
      </c>
      <c r="P100" s="21">
        <v>7335.0</v>
      </c>
      <c r="Q100" s="47" t="s">
        <v>490</v>
      </c>
      <c r="R100" s="38" t="s">
        <v>693</v>
      </c>
      <c r="S100" s="38" t="s">
        <v>495</v>
      </c>
    </row>
    <row r="101">
      <c r="K101" s="13">
        <v>46230.0</v>
      </c>
      <c r="L101" s="76" t="s">
        <v>696</v>
      </c>
      <c r="M101" s="38" t="s">
        <v>697</v>
      </c>
      <c r="N101" s="21" t="s">
        <v>485</v>
      </c>
      <c r="O101" s="21">
        <v>355.0</v>
      </c>
      <c r="P101" s="21">
        <v>6980.0</v>
      </c>
      <c r="Q101" s="47" t="s">
        <v>490</v>
      </c>
      <c r="R101" s="38" t="s">
        <v>521</v>
      </c>
      <c r="S101" s="76" t="s">
        <v>488</v>
      </c>
    </row>
    <row r="102">
      <c r="K102" s="13">
        <v>46231.0</v>
      </c>
      <c r="L102" s="76" t="s">
        <v>699</v>
      </c>
      <c r="M102" s="38" t="s">
        <v>548</v>
      </c>
      <c r="N102" s="21" t="s">
        <v>485</v>
      </c>
      <c r="O102" s="21">
        <v>316.0</v>
      </c>
      <c r="P102" s="21">
        <v>6664.0</v>
      </c>
      <c r="Q102" s="47" t="s">
        <v>490</v>
      </c>
      <c r="R102" s="38" t="s">
        <v>487</v>
      </c>
      <c r="S102" s="38" t="s">
        <v>651</v>
      </c>
    </row>
    <row r="103">
      <c r="K103" s="13">
        <v>46232.0</v>
      </c>
      <c r="L103" s="76" t="s">
        <v>700</v>
      </c>
      <c r="M103" s="38" t="s">
        <v>493</v>
      </c>
      <c r="N103" s="21" t="s">
        <v>485</v>
      </c>
      <c r="O103" s="21">
        <v>355.0</v>
      </c>
      <c r="P103" s="21">
        <v>6309.0</v>
      </c>
      <c r="Q103" s="91" t="s">
        <v>490</v>
      </c>
      <c r="R103" s="38" t="s">
        <v>487</v>
      </c>
      <c r="S103" s="38" t="s">
        <v>624</v>
      </c>
    </row>
    <row r="104">
      <c r="K104" s="13">
        <v>46233.0</v>
      </c>
      <c r="L104" s="76" t="s">
        <v>702</v>
      </c>
      <c r="M104" s="38" t="s">
        <v>548</v>
      </c>
      <c r="N104" s="21" t="s">
        <v>485</v>
      </c>
      <c r="O104" s="21">
        <v>316.0</v>
      </c>
      <c r="P104" s="21">
        <v>5993.0</v>
      </c>
      <c r="Q104" s="91" t="s">
        <v>490</v>
      </c>
      <c r="R104" s="38" t="s">
        <v>704</v>
      </c>
      <c r="S104" s="38" t="s">
        <v>705</v>
      </c>
    </row>
    <row r="105">
      <c r="K105" s="51">
        <v>46236.0</v>
      </c>
      <c r="L105" s="38" t="s">
        <v>706</v>
      </c>
      <c r="M105" s="38"/>
      <c r="N105" s="21"/>
      <c r="O105" s="21"/>
      <c r="P105" s="21"/>
      <c r="Q105" s="92" t="s">
        <v>490</v>
      </c>
      <c r="R105" s="38" t="s">
        <v>707</v>
      </c>
      <c r="S105" s="76" t="s">
        <v>488</v>
      </c>
    </row>
    <row r="106">
      <c r="K106" s="51">
        <v>46237.0</v>
      </c>
      <c r="L106" s="38" t="s">
        <v>708</v>
      </c>
      <c r="M106" s="84"/>
      <c r="N106" s="12"/>
      <c r="O106" s="12"/>
      <c r="P106" s="12"/>
      <c r="Q106" s="93" t="s">
        <v>709</v>
      </c>
      <c r="R106" s="38" t="s">
        <v>710</v>
      </c>
      <c r="S106" s="38" t="s">
        <v>711</v>
      </c>
    </row>
    <row r="107">
      <c r="K107" s="51">
        <v>46238.0</v>
      </c>
      <c r="L107" s="38" t="s">
        <v>713</v>
      </c>
      <c r="M107" s="84"/>
      <c r="N107" s="12"/>
      <c r="O107" s="12"/>
      <c r="P107" s="12"/>
      <c r="Q107" s="92" t="s">
        <v>490</v>
      </c>
      <c r="R107" s="38" t="s">
        <v>714</v>
      </c>
      <c r="S107" s="38" t="s">
        <v>638</v>
      </c>
    </row>
    <row r="108">
      <c r="K108" s="51">
        <v>46239.0</v>
      </c>
      <c r="L108" s="38" t="s">
        <v>715</v>
      </c>
      <c r="M108" s="84"/>
      <c r="N108" s="12"/>
      <c r="O108" s="12"/>
      <c r="P108" s="12"/>
      <c r="Q108" s="94" t="s">
        <v>602</v>
      </c>
      <c r="R108" s="38" t="s">
        <v>707</v>
      </c>
      <c r="S108" s="38" t="s">
        <v>651</v>
      </c>
    </row>
    <row r="109">
      <c r="K109" s="51">
        <v>46240.0</v>
      </c>
      <c r="L109" s="38" t="s">
        <v>717</v>
      </c>
      <c r="M109" s="84"/>
      <c r="N109" s="12"/>
      <c r="O109" s="12"/>
      <c r="P109" s="12"/>
      <c r="Q109" s="92" t="s">
        <v>490</v>
      </c>
      <c r="R109" s="38" t="s">
        <v>718</v>
      </c>
      <c r="S109" s="38" t="s">
        <v>719</v>
      </c>
    </row>
    <row r="110">
      <c r="K110" s="51">
        <v>46244.0</v>
      </c>
      <c r="L110" s="38" t="s">
        <v>720</v>
      </c>
      <c r="M110" s="38" t="s">
        <v>493</v>
      </c>
      <c r="N110" s="21" t="s">
        <v>485</v>
      </c>
      <c r="O110" s="21">
        <v>355.0</v>
      </c>
      <c r="P110" s="21">
        <v>5283.0</v>
      </c>
      <c r="Q110" s="92" t="s">
        <v>490</v>
      </c>
      <c r="R110" s="38" t="s">
        <v>707</v>
      </c>
      <c r="S110" s="76" t="s">
        <v>488</v>
      </c>
    </row>
    <row r="111">
      <c r="K111" s="51">
        <v>46246.0</v>
      </c>
      <c r="L111" s="38" t="s">
        <v>721</v>
      </c>
      <c r="M111" s="38" t="s">
        <v>525</v>
      </c>
      <c r="N111" s="21" t="s">
        <v>485</v>
      </c>
      <c r="O111" s="21">
        <v>355.0</v>
      </c>
      <c r="P111" s="21">
        <v>4928.0</v>
      </c>
      <c r="Q111" s="92" t="s">
        <v>490</v>
      </c>
      <c r="R111" s="38" t="s">
        <v>722</v>
      </c>
      <c r="S111" s="38" t="s">
        <v>723</v>
      </c>
    </row>
    <row r="112">
      <c r="K112" s="51">
        <v>46247.0</v>
      </c>
      <c r="L112" s="38" t="s">
        <v>724</v>
      </c>
      <c r="M112" s="84"/>
      <c r="N112" s="12"/>
      <c r="O112" s="12"/>
      <c r="P112" s="12"/>
      <c r="Q112" s="94" t="s">
        <v>602</v>
      </c>
      <c r="R112" s="38" t="s">
        <v>726</v>
      </c>
      <c r="S112" s="38" t="s">
        <v>603</v>
      </c>
    </row>
    <row r="113">
      <c r="K113" s="51">
        <v>46251.0</v>
      </c>
      <c r="L113" s="38" t="s">
        <v>727</v>
      </c>
      <c r="M113" s="38" t="s">
        <v>728</v>
      </c>
      <c r="N113" s="21" t="s">
        <v>485</v>
      </c>
      <c r="O113" s="21">
        <v>899.0</v>
      </c>
      <c r="P113" s="21">
        <v>4029.0</v>
      </c>
      <c r="Q113" s="94" t="s">
        <v>729</v>
      </c>
      <c r="R113" s="38" t="s">
        <v>730</v>
      </c>
      <c r="S113" s="38" t="s">
        <v>732</v>
      </c>
    </row>
    <row r="114">
      <c r="K114" s="51">
        <v>46252.0</v>
      </c>
      <c r="L114" s="38" t="s">
        <v>733</v>
      </c>
      <c r="M114" s="38" t="s">
        <v>734</v>
      </c>
      <c r="N114" s="21" t="s">
        <v>485</v>
      </c>
      <c r="O114" s="21">
        <v>208.0</v>
      </c>
      <c r="P114" s="21">
        <v>3821.0</v>
      </c>
      <c r="Q114" s="92" t="s">
        <v>490</v>
      </c>
      <c r="R114" s="38" t="s">
        <v>736</v>
      </c>
      <c r="S114" s="38" t="s">
        <v>737</v>
      </c>
    </row>
    <row r="115">
      <c r="K115" s="51">
        <v>46253.0</v>
      </c>
      <c r="L115" s="38" t="s">
        <v>738</v>
      </c>
      <c r="M115" s="38" t="s">
        <v>739</v>
      </c>
      <c r="N115" s="21" t="s">
        <v>485</v>
      </c>
      <c r="O115" s="21">
        <v>524.0</v>
      </c>
      <c r="P115" s="21">
        <v>3297.0</v>
      </c>
      <c r="Q115" s="94" t="s">
        <v>602</v>
      </c>
      <c r="R115" s="38" t="s">
        <v>736</v>
      </c>
      <c r="S115" s="38" t="s">
        <v>740</v>
      </c>
    </row>
    <row r="116">
      <c r="K116" s="51">
        <v>46258.0</v>
      </c>
      <c r="L116" s="38" t="s">
        <v>741</v>
      </c>
      <c r="M116" s="38" t="s">
        <v>742</v>
      </c>
      <c r="N116" s="21" t="s">
        <v>485</v>
      </c>
      <c r="O116" s="21">
        <v>710.0</v>
      </c>
      <c r="P116" s="21">
        <v>2587.0</v>
      </c>
      <c r="Q116" s="92" t="s">
        <v>490</v>
      </c>
      <c r="R116" s="38" t="s">
        <v>521</v>
      </c>
      <c r="S116" s="76" t="s">
        <v>488</v>
      </c>
    </row>
    <row r="117">
      <c r="K117" s="51">
        <v>46259.0</v>
      </c>
      <c r="L117" s="89" t="s">
        <v>743</v>
      </c>
      <c r="M117" s="38" t="s">
        <v>734</v>
      </c>
      <c r="N117" s="21" t="s">
        <v>485</v>
      </c>
      <c r="O117" s="21">
        <v>136.0</v>
      </c>
      <c r="P117" s="21">
        <v>2451.0</v>
      </c>
      <c r="Q117" s="92" t="s">
        <v>490</v>
      </c>
      <c r="R117" s="38" t="s">
        <v>744</v>
      </c>
      <c r="S117" s="38" t="s">
        <v>745</v>
      </c>
    </row>
    <row r="118">
      <c r="K118" s="51">
        <v>46260.0</v>
      </c>
      <c r="L118" s="89" t="s">
        <v>746</v>
      </c>
      <c r="M118" s="38" t="s">
        <v>747</v>
      </c>
      <c r="N118" s="21" t="s">
        <v>485</v>
      </c>
      <c r="O118" s="21">
        <v>524.0</v>
      </c>
      <c r="P118" s="21">
        <v>1819.0</v>
      </c>
      <c r="Q118" s="94" t="s">
        <v>602</v>
      </c>
      <c r="R118" s="38" t="s">
        <v>748</v>
      </c>
      <c r="S118" s="38" t="s">
        <v>750</v>
      </c>
    </row>
    <row r="119">
      <c r="K119" s="51">
        <v>46261.0</v>
      </c>
      <c r="L119" s="89" t="s">
        <v>751</v>
      </c>
      <c r="M119" s="38" t="s">
        <v>752</v>
      </c>
      <c r="N119" s="21" t="s">
        <v>485</v>
      </c>
      <c r="O119" s="21">
        <v>136.0</v>
      </c>
      <c r="P119" s="21">
        <v>1683.0</v>
      </c>
      <c r="Q119" s="92" t="s">
        <v>490</v>
      </c>
      <c r="R119" s="38" t="s">
        <v>744</v>
      </c>
      <c r="S119" s="38" t="s">
        <v>753</v>
      </c>
    </row>
    <row r="120">
      <c r="K120" s="51">
        <v>46266.0</v>
      </c>
      <c r="L120" s="38" t="s">
        <v>754</v>
      </c>
      <c r="M120" s="38" t="s">
        <v>493</v>
      </c>
      <c r="N120" s="21" t="s">
        <v>485</v>
      </c>
      <c r="O120" s="21">
        <v>355.0</v>
      </c>
      <c r="P120" s="21">
        <v>1328.0</v>
      </c>
      <c r="Q120" s="92" t="s">
        <v>490</v>
      </c>
      <c r="R120" s="38" t="s">
        <v>521</v>
      </c>
      <c r="S120" s="76" t="s">
        <v>488</v>
      </c>
    </row>
    <row r="121">
      <c r="K121" s="51">
        <v>46267.0</v>
      </c>
      <c r="L121" s="38" t="s">
        <v>755</v>
      </c>
      <c r="M121" s="84"/>
      <c r="N121" s="12"/>
      <c r="O121" s="12"/>
      <c r="P121" s="12"/>
      <c r="Q121" s="92" t="s">
        <v>490</v>
      </c>
      <c r="R121" s="38" t="s">
        <v>756</v>
      </c>
      <c r="S121" s="38" t="s">
        <v>758</v>
      </c>
    </row>
    <row r="122">
      <c r="K122" s="51">
        <v>46268.0</v>
      </c>
      <c r="L122" s="38" t="s">
        <v>759</v>
      </c>
      <c r="M122" s="38" t="s">
        <v>525</v>
      </c>
      <c r="N122" s="21" t="s">
        <v>485</v>
      </c>
      <c r="O122" s="21">
        <v>355.0</v>
      </c>
      <c r="P122" s="21">
        <v>973.0</v>
      </c>
      <c r="Q122" s="92" t="s">
        <v>490</v>
      </c>
      <c r="R122" s="38" t="s">
        <v>760</v>
      </c>
      <c r="S122" s="38" t="s">
        <v>761</v>
      </c>
    </row>
    <row r="123">
      <c r="K123" s="51">
        <v>46272.0</v>
      </c>
      <c r="L123" s="38" t="s">
        <v>762</v>
      </c>
      <c r="M123" s="38" t="s">
        <v>493</v>
      </c>
      <c r="N123" s="21" t="s">
        <v>485</v>
      </c>
      <c r="O123" s="21">
        <v>355.0</v>
      </c>
      <c r="P123" s="21">
        <v>618.0</v>
      </c>
      <c r="Q123" s="92" t="s">
        <v>490</v>
      </c>
      <c r="R123" s="38" t="s">
        <v>521</v>
      </c>
      <c r="S123" s="76" t="s">
        <v>488</v>
      </c>
    </row>
    <row r="124">
      <c r="K124" s="51">
        <v>46274.0</v>
      </c>
      <c r="L124" s="38" t="s">
        <v>764</v>
      </c>
      <c r="M124" s="84"/>
      <c r="N124" s="12"/>
      <c r="O124" s="12"/>
      <c r="P124" s="12"/>
      <c r="Q124" s="92" t="s">
        <v>490</v>
      </c>
      <c r="R124" s="38" t="s">
        <v>756</v>
      </c>
      <c r="S124" s="76" t="s">
        <v>488</v>
      </c>
    </row>
    <row r="125">
      <c r="K125" s="51">
        <v>46275.0</v>
      </c>
      <c r="L125" s="38" t="s">
        <v>765</v>
      </c>
      <c r="M125" s="84"/>
      <c r="N125" s="12"/>
      <c r="O125" s="12"/>
      <c r="P125" s="12"/>
      <c r="Q125" s="92" t="s">
        <v>490</v>
      </c>
      <c r="R125" s="38" t="s">
        <v>766</v>
      </c>
      <c r="S125" s="38" t="s">
        <v>767</v>
      </c>
    </row>
    <row r="126">
      <c r="K126" s="51">
        <v>46278.0</v>
      </c>
      <c r="L126" s="38" t="s">
        <v>769</v>
      </c>
      <c r="M126" s="84"/>
      <c r="N126" s="12"/>
      <c r="O126" s="12"/>
      <c r="P126" s="12"/>
      <c r="Q126" s="92" t="s">
        <v>490</v>
      </c>
      <c r="R126" s="38" t="s">
        <v>521</v>
      </c>
      <c r="S126" s="76" t="s">
        <v>488</v>
      </c>
    </row>
    <row r="127">
      <c r="K127" s="51">
        <v>46279.0</v>
      </c>
      <c r="L127" s="38" t="s">
        <v>770</v>
      </c>
      <c r="M127" s="38" t="s">
        <v>525</v>
      </c>
      <c r="N127" s="21" t="s">
        <v>485</v>
      </c>
      <c r="O127" s="21">
        <v>355.0</v>
      </c>
      <c r="P127" s="21">
        <v>350.0</v>
      </c>
      <c r="Q127" s="92" t="s">
        <v>490</v>
      </c>
      <c r="R127" s="38" t="s">
        <v>771</v>
      </c>
      <c r="S127" s="38" t="s">
        <v>772</v>
      </c>
    </row>
    <row r="128">
      <c r="K128" s="51">
        <v>46281.0</v>
      </c>
      <c r="L128" s="38" t="s">
        <v>773</v>
      </c>
      <c r="M128" s="38" t="s">
        <v>484</v>
      </c>
      <c r="N128" s="21" t="s">
        <v>485</v>
      </c>
      <c r="O128" s="21">
        <v>316.0</v>
      </c>
      <c r="P128" s="21">
        <v>34.0</v>
      </c>
      <c r="Q128" s="92" t="s">
        <v>490</v>
      </c>
      <c r="R128" s="38" t="s">
        <v>521</v>
      </c>
      <c r="S128" s="76" t="s">
        <v>488</v>
      </c>
    </row>
    <row r="129">
      <c r="K129" s="26">
        <v>46282.0</v>
      </c>
      <c r="L129" s="38" t="s">
        <v>775</v>
      </c>
      <c r="M129" s="21" t="s">
        <v>548</v>
      </c>
      <c r="N129" s="21" t="s">
        <v>776</v>
      </c>
      <c r="O129" s="21">
        <v>316.0</v>
      </c>
      <c r="P129" s="21">
        <v>218.0</v>
      </c>
      <c r="Q129" s="92" t="s">
        <v>490</v>
      </c>
      <c r="R129" s="1" t="s">
        <v>487</v>
      </c>
      <c r="S129" s="76" t="s">
        <v>777</v>
      </c>
    </row>
    <row r="130">
      <c r="K130" s="26">
        <v>46285.0</v>
      </c>
      <c r="L130" s="38" t="s">
        <v>778</v>
      </c>
      <c r="M130" s="12"/>
      <c r="N130" s="21" t="s">
        <v>776</v>
      </c>
      <c r="O130" s="12"/>
      <c r="P130" s="12"/>
      <c r="Q130" s="92" t="s">
        <v>490</v>
      </c>
      <c r="R130" s="38" t="s">
        <v>521</v>
      </c>
      <c r="S130" s="76" t="s">
        <v>488</v>
      </c>
    </row>
    <row r="131">
      <c r="K131" s="26">
        <v>46286.0</v>
      </c>
      <c r="L131" s="38" t="s">
        <v>779</v>
      </c>
      <c r="M131" s="12"/>
      <c r="N131" s="12"/>
      <c r="O131" s="12"/>
      <c r="P131" s="12"/>
      <c r="Q131" s="92" t="s">
        <v>490</v>
      </c>
      <c r="R131" s="1" t="s">
        <v>780</v>
      </c>
      <c r="S131" s="1" t="s">
        <v>780</v>
      </c>
    </row>
    <row r="132">
      <c r="K132" s="26">
        <v>46287.0</v>
      </c>
      <c r="L132" s="38" t="s">
        <v>781</v>
      </c>
      <c r="M132" s="12"/>
      <c r="N132" s="12"/>
      <c r="O132" s="12"/>
      <c r="P132" s="12"/>
      <c r="Q132" s="92" t="s">
        <v>490</v>
      </c>
      <c r="R132" s="38" t="s">
        <v>782</v>
      </c>
      <c r="S132" s="38" t="s">
        <v>782</v>
      </c>
    </row>
    <row r="133">
      <c r="K133" s="26">
        <v>46288.0</v>
      </c>
      <c r="L133" s="38" t="s">
        <v>783</v>
      </c>
      <c r="M133" s="12"/>
      <c r="N133" s="12"/>
      <c r="O133" s="12"/>
      <c r="P133" s="12"/>
      <c r="Q133" s="1" t="s">
        <v>602</v>
      </c>
      <c r="R133" s="38" t="s">
        <v>784</v>
      </c>
      <c r="S133" s="38" t="s">
        <v>784</v>
      </c>
    </row>
    <row r="134">
      <c r="K134" s="26">
        <v>46289.0</v>
      </c>
      <c r="L134" s="38" t="s">
        <v>785</v>
      </c>
      <c r="M134" s="12"/>
      <c r="N134" s="12"/>
      <c r="O134" s="12"/>
      <c r="P134" s="12"/>
      <c r="Q134" s="92" t="s">
        <v>490</v>
      </c>
      <c r="R134" s="38" t="s">
        <v>786</v>
      </c>
      <c r="S134" s="1" t="s">
        <v>787</v>
      </c>
    </row>
    <row r="135">
      <c r="K135" s="26">
        <v>46290.0</v>
      </c>
      <c r="L135" s="38" t="s">
        <v>788</v>
      </c>
      <c r="M135" s="21" t="s">
        <v>789</v>
      </c>
      <c r="N135" s="21" t="s">
        <v>485</v>
      </c>
      <c r="O135" s="21">
        <v>300.0</v>
      </c>
      <c r="P135" s="21">
        <v>102.0</v>
      </c>
      <c r="Q135" s="1" t="s">
        <v>602</v>
      </c>
      <c r="R135" s="1" t="s">
        <v>790</v>
      </c>
      <c r="S135" s="1" t="s">
        <v>791</v>
      </c>
    </row>
    <row r="136">
      <c r="K136" s="26">
        <v>46292.0</v>
      </c>
      <c r="L136" s="38" t="s">
        <v>793</v>
      </c>
      <c r="M136" s="12"/>
      <c r="N136" s="12"/>
      <c r="O136" s="12"/>
      <c r="P136" s="12"/>
      <c r="Q136" s="92" t="s">
        <v>490</v>
      </c>
      <c r="R136" s="38" t="s">
        <v>521</v>
      </c>
      <c r="S136" s="76" t="s">
        <v>488</v>
      </c>
    </row>
    <row r="137">
      <c r="K137" s="26">
        <v>46293.0</v>
      </c>
      <c r="L137" s="38" t="s">
        <v>794</v>
      </c>
      <c r="M137" s="12"/>
      <c r="N137" s="12"/>
      <c r="O137" s="12"/>
      <c r="P137" s="12"/>
      <c r="Q137" s="92" t="s">
        <v>490</v>
      </c>
      <c r="R137" s="1" t="s">
        <v>795</v>
      </c>
      <c r="S137" s="1" t="s">
        <v>530</v>
      </c>
    </row>
    <row r="138">
      <c r="K138" s="26">
        <v>46294.0</v>
      </c>
      <c r="L138" s="38" t="s">
        <v>796</v>
      </c>
      <c r="M138" s="12"/>
      <c r="N138" s="21" t="s">
        <v>797</v>
      </c>
      <c r="O138" s="21">
        <v>136.0</v>
      </c>
      <c r="P138" s="21">
        <v>966.0</v>
      </c>
      <c r="Q138" s="92" t="s">
        <v>490</v>
      </c>
      <c r="R138" s="1" t="s">
        <v>798</v>
      </c>
      <c r="S138" s="1" t="s">
        <v>799</v>
      </c>
    </row>
    <row r="139">
      <c r="K139" s="26">
        <v>46295.0</v>
      </c>
      <c r="L139" s="38" t="s">
        <v>800</v>
      </c>
      <c r="M139" s="12"/>
      <c r="N139" s="12"/>
      <c r="O139" s="21">
        <v>136.0</v>
      </c>
      <c r="P139" s="21">
        <v>830.0</v>
      </c>
      <c r="Q139" s="92" t="s">
        <v>490</v>
      </c>
      <c r="R139" s="1" t="s">
        <v>798</v>
      </c>
      <c r="S139" s="1" t="s">
        <v>799</v>
      </c>
    </row>
    <row r="140">
      <c r="K140" s="26">
        <v>46296.0</v>
      </c>
      <c r="L140" s="38" t="s">
        <v>754</v>
      </c>
      <c r="M140" s="12"/>
      <c r="N140" s="12"/>
      <c r="O140" s="12"/>
      <c r="P140" s="12"/>
      <c r="Q140" s="1" t="s">
        <v>602</v>
      </c>
      <c r="R140" s="1" t="s">
        <v>801</v>
      </c>
      <c r="S140" s="1" t="s">
        <v>603</v>
      </c>
    </row>
    <row r="141">
      <c r="K141" s="26">
        <v>46297.0</v>
      </c>
      <c r="L141" s="38" t="s">
        <v>755</v>
      </c>
      <c r="M141" s="12"/>
      <c r="N141" s="12"/>
      <c r="O141" s="12"/>
      <c r="P141" s="12"/>
      <c r="Q141" s="1" t="s">
        <v>602</v>
      </c>
      <c r="R141" s="1" t="s">
        <v>801</v>
      </c>
      <c r="S141" s="1" t="s">
        <v>802</v>
      </c>
    </row>
    <row r="142">
      <c r="K142" s="26">
        <v>46299.0</v>
      </c>
      <c r="L142" s="38" t="s">
        <v>759</v>
      </c>
      <c r="M142" s="12"/>
      <c r="N142" s="12"/>
      <c r="O142" s="12"/>
      <c r="P142" s="12"/>
      <c r="Q142" s="92" t="s">
        <v>490</v>
      </c>
      <c r="R142" s="38" t="s">
        <v>521</v>
      </c>
      <c r="S142" s="76" t="s">
        <v>488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6.25"/>
    <col customWidth="1" min="12" max="12" width="13.38"/>
    <col customWidth="1" min="13" max="13" width="24.88"/>
    <col customWidth="1" min="14" max="14" width="13.38"/>
    <col customWidth="1" min="17" max="17" width="23.38"/>
    <col customWidth="1" min="18" max="18" width="27.38"/>
    <col customWidth="1" min="19" max="19" width="31.13"/>
  </cols>
  <sheetData>
    <row r="1">
      <c r="A1" s="2"/>
      <c r="B1" s="1"/>
      <c r="D1" s="77"/>
      <c r="E1" s="77"/>
      <c r="F1" s="77"/>
      <c r="G1" s="77"/>
      <c r="H1" s="77"/>
      <c r="I1" s="6"/>
      <c r="K1" s="78" t="s">
        <v>550</v>
      </c>
      <c r="L1" s="10"/>
      <c r="M1" s="10"/>
      <c r="N1" s="10"/>
      <c r="O1" s="79"/>
      <c r="P1" s="79"/>
      <c r="Q1" s="10"/>
      <c r="R1" s="10"/>
      <c r="S1" s="10"/>
    </row>
    <row r="2">
      <c r="A2" s="2" t="s">
        <v>1</v>
      </c>
      <c r="B2" s="1"/>
      <c r="D2" s="3" t="s">
        <v>2</v>
      </c>
      <c r="E2" s="3" t="s">
        <v>3</v>
      </c>
      <c r="F2" s="3" t="s">
        <v>5</v>
      </c>
      <c r="G2" s="3" t="s">
        <v>6</v>
      </c>
      <c r="H2" s="3" t="s">
        <v>7</v>
      </c>
      <c r="I2" s="6" t="s">
        <v>9</v>
      </c>
      <c r="K2" s="80" t="s">
        <v>8</v>
      </c>
      <c r="L2" s="6" t="s">
        <v>24</v>
      </c>
      <c r="M2" s="6" t="s">
        <v>25</v>
      </c>
      <c r="N2" s="6" t="s">
        <v>27</v>
      </c>
      <c r="O2" s="6" t="s">
        <v>28</v>
      </c>
      <c r="P2" s="81" t="s">
        <v>30</v>
      </c>
      <c r="Q2" s="6" t="s">
        <v>36</v>
      </c>
      <c r="R2" s="6" t="s">
        <v>35</v>
      </c>
      <c r="S2" s="6" t="s">
        <v>33</v>
      </c>
    </row>
    <row r="3">
      <c r="A3" s="1" t="s">
        <v>21</v>
      </c>
      <c r="B3" s="2" t="s">
        <v>448</v>
      </c>
      <c r="D3" s="13">
        <v>46030.0</v>
      </c>
      <c r="E3" s="13">
        <v>46030.0</v>
      </c>
      <c r="F3" s="13">
        <v>46030.0</v>
      </c>
      <c r="G3" s="13">
        <v>46030.0</v>
      </c>
      <c r="H3" s="13">
        <v>46030.0</v>
      </c>
      <c r="I3" s="13">
        <v>46030.0</v>
      </c>
      <c r="J3" s="16"/>
      <c r="K3" s="13">
        <v>46045.0</v>
      </c>
      <c r="L3" s="19"/>
      <c r="M3" s="19" t="s">
        <v>47</v>
      </c>
      <c r="N3" s="21"/>
      <c r="O3" s="19"/>
      <c r="P3" s="19"/>
      <c r="Q3" s="19"/>
      <c r="R3" s="19"/>
      <c r="S3" s="19"/>
    </row>
    <row r="4">
      <c r="A4" s="1" t="s">
        <v>40</v>
      </c>
      <c r="B4" s="2" t="s">
        <v>102</v>
      </c>
      <c r="D4" s="15"/>
      <c r="E4" s="15"/>
      <c r="F4" s="15"/>
      <c r="G4" s="15"/>
      <c r="H4" s="15"/>
      <c r="I4" s="15"/>
      <c r="J4" s="25"/>
      <c r="K4" s="13">
        <v>46049.0</v>
      </c>
      <c r="L4" s="82"/>
      <c r="M4" s="27" t="s">
        <v>570</v>
      </c>
      <c r="N4" s="21"/>
      <c r="O4" s="19"/>
      <c r="P4" s="19">
        <f t="shared" ref="P4:P96" si="1">P3+N4-O4</f>
        <v>0</v>
      </c>
      <c r="Q4" s="27"/>
      <c r="R4" s="19"/>
      <c r="S4" s="19"/>
    </row>
    <row r="5">
      <c r="A5" s="1" t="s">
        <v>50</v>
      </c>
      <c r="B5" s="2" t="s">
        <v>103</v>
      </c>
      <c r="D5" s="15"/>
      <c r="E5" s="15"/>
      <c r="F5" s="15"/>
      <c r="G5" s="15"/>
      <c r="H5" s="15"/>
      <c r="I5" s="15"/>
      <c r="J5" s="16"/>
      <c r="K5" s="13">
        <v>46048.0</v>
      </c>
      <c r="L5" s="27" t="s">
        <v>576</v>
      </c>
      <c r="M5" s="27" t="s">
        <v>578</v>
      </c>
      <c r="N5" s="21"/>
      <c r="O5" s="19"/>
      <c r="P5" s="19">
        <f t="shared" si="1"/>
        <v>0</v>
      </c>
      <c r="Q5" s="34" t="s">
        <v>582</v>
      </c>
      <c r="R5" s="83" t="s">
        <v>586</v>
      </c>
      <c r="S5" s="83" t="s">
        <v>590</v>
      </c>
    </row>
    <row r="6">
      <c r="A6" s="1" t="s">
        <v>66</v>
      </c>
      <c r="B6" s="2" t="s">
        <v>449</v>
      </c>
      <c r="D6" s="15"/>
      <c r="E6" s="15"/>
      <c r="F6" s="15"/>
      <c r="G6" s="15"/>
      <c r="H6" s="15"/>
      <c r="I6" s="15"/>
      <c r="J6" s="16"/>
      <c r="K6" s="13">
        <v>46048.0</v>
      </c>
      <c r="L6" s="27" t="s">
        <v>576</v>
      </c>
      <c r="M6" s="27" t="s">
        <v>595</v>
      </c>
      <c r="N6" s="21"/>
      <c r="O6" s="19"/>
      <c r="P6" s="19">
        <f t="shared" si="1"/>
        <v>0</v>
      </c>
      <c r="Q6" s="37"/>
      <c r="R6" s="37"/>
      <c r="S6" s="37"/>
    </row>
    <row r="7">
      <c r="A7" s="1" t="s">
        <v>70</v>
      </c>
      <c r="B7" s="2" t="s">
        <v>100</v>
      </c>
      <c r="D7" s="15"/>
      <c r="E7" s="15"/>
      <c r="F7" s="15"/>
      <c r="G7" s="15"/>
      <c r="H7" s="15"/>
      <c r="I7" s="15"/>
      <c r="J7" s="16"/>
      <c r="K7" s="13">
        <v>46048.0</v>
      </c>
      <c r="L7" s="27" t="s">
        <v>576</v>
      </c>
      <c r="M7" s="27" t="s">
        <v>599</v>
      </c>
      <c r="N7" s="21"/>
      <c r="O7" s="19"/>
      <c r="P7" s="19">
        <f t="shared" si="1"/>
        <v>0</v>
      </c>
      <c r="Q7" s="37"/>
      <c r="R7" s="37"/>
      <c r="S7" s="37"/>
    </row>
    <row r="8">
      <c r="I8" s="12"/>
      <c r="J8" s="16"/>
      <c r="K8" s="13">
        <v>46048.0</v>
      </c>
      <c r="L8" s="27" t="s">
        <v>576</v>
      </c>
      <c r="M8" s="27" t="s">
        <v>604</v>
      </c>
      <c r="N8" s="21"/>
      <c r="O8" s="19"/>
      <c r="P8" s="19">
        <f t="shared" si="1"/>
        <v>0</v>
      </c>
      <c r="Q8" s="37"/>
      <c r="R8" s="37"/>
      <c r="S8" s="37"/>
    </row>
    <row r="9">
      <c r="A9" s="6" t="s">
        <v>8</v>
      </c>
      <c r="B9" s="6" t="s">
        <v>84</v>
      </c>
      <c r="C9" s="6" t="s">
        <v>25</v>
      </c>
      <c r="D9" s="6" t="s">
        <v>86</v>
      </c>
      <c r="E9" s="6" t="s">
        <v>87</v>
      </c>
      <c r="G9" s="6" t="s">
        <v>8</v>
      </c>
      <c r="H9" s="6" t="s">
        <v>13</v>
      </c>
      <c r="I9" s="6" t="s">
        <v>88</v>
      </c>
      <c r="J9" s="16"/>
      <c r="K9" s="13">
        <v>46048.0</v>
      </c>
      <c r="L9" s="27" t="s">
        <v>576</v>
      </c>
      <c r="M9" s="27" t="s">
        <v>608</v>
      </c>
      <c r="N9" s="21"/>
      <c r="O9" s="19"/>
      <c r="P9" s="19">
        <f t="shared" si="1"/>
        <v>0</v>
      </c>
      <c r="Q9" s="37"/>
      <c r="R9" s="37"/>
      <c r="S9" s="37"/>
    </row>
    <row r="10">
      <c r="A10" s="15"/>
      <c r="B10" s="12"/>
      <c r="C10" s="12"/>
      <c r="D10" s="12"/>
      <c r="E10" s="12"/>
      <c r="G10" s="85">
        <v>46045.0</v>
      </c>
      <c r="H10" s="21">
        <v>53.0</v>
      </c>
      <c r="I10" s="21">
        <v>57.58</v>
      </c>
      <c r="J10" s="1"/>
      <c r="K10" s="13">
        <v>46048.0</v>
      </c>
      <c r="L10" s="27" t="s">
        <v>576</v>
      </c>
      <c r="M10" s="27" t="s">
        <v>610</v>
      </c>
      <c r="N10" s="21"/>
      <c r="O10" s="19"/>
      <c r="P10" s="19">
        <f t="shared" si="1"/>
        <v>0</v>
      </c>
      <c r="Q10" s="37"/>
      <c r="R10" s="37"/>
      <c r="S10" s="37"/>
    </row>
    <row r="11">
      <c r="A11" s="15"/>
      <c r="B11" s="12"/>
      <c r="C11" s="12"/>
      <c r="D11" s="12"/>
      <c r="E11" s="12"/>
      <c r="G11" s="85">
        <v>46052.0</v>
      </c>
      <c r="H11" s="21">
        <v>495.0</v>
      </c>
      <c r="I11" s="21">
        <v>41.34</v>
      </c>
      <c r="J11" s="1"/>
      <c r="K11" s="13">
        <v>46048.0</v>
      </c>
      <c r="L11" s="27" t="s">
        <v>576</v>
      </c>
      <c r="M11" s="27" t="s">
        <v>480</v>
      </c>
      <c r="N11" s="21"/>
      <c r="O11" s="19"/>
      <c r="P11" s="19">
        <f t="shared" si="1"/>
        <v>0</v>
      </c>
      <c r="Q11" s="37"/>
      <c r="R11" s="37"/>
      <c r="S11" s="37"/>
    </row>
    <row r="12">
      <c r="A12" s="15"/>
      <c r="B12" s="12"/>
      <c r="C12" s="12"/>
      <c r="D12" s="12"/>
      <c r="E12" s="12"/>
      <c r="G12" s="85">
        <v>46070.0</v>
      </c>
      <c r="H12" s="21">
        <v>1018.0</v>
      </c>
      <c r="I12" s="21">
        <v>53.51</v>
      </c>
      <c r="J12" s="1"/>
      <c r="K12" s="13">
        <v>46048.0</v>
      </c>
      <c r="L12" s="27" t="s">
        <v>576</v>
      </c>
      <c r="M12" s="27" t="s">
        <v>619</v>
      </c>
      <c r="N12" s="21"/>
      <c r="O12" s="19"/>
      <c r="P12" s="19">
        <f t="shared" si="1"/>
        <v>0</v>
      </c>
      <c r="Q12" s="37"/>
      <c r="R12" s="37"/>
      <c r="S12" s="37"/>
    </row>
    <row r="13">
      <c r="A13" s="15"/>
      <c r="B13" s="12"/>
      <c r="C13" s="12"/>
      <c r="D13" s="12"/>
      <c r="E13" s="12"/>
      <c r="G13" s="85">
        <v>46083.0</v>
      </c>
      <c r="H13" s="21">
        <v>1409.0</v>
      </c>
      <c r="I13" s="21">
        <v>51.78</v>
      </c>
      <c r="J13" s="1"/>
      <c r="K13" s="13">
        <v>46048.0</v>
      </c>
      <c r="L13" s="27" t="s">
        <v>576</v>
      </c>
      <c r="M13" s="27" t="s">
        <v>621</v>
      </c>
      <c r="N13" s="21"/>
      <c r="O13" s="19"/>
      <c r="P13" s="19">
        <f t="shared" si="1"/>
        <v>0</v>
      </c>
      <c r="Q13" s="37"/>
      <c r="R13" s="37"/>
      <c r="S13" s="37"/>
    </row>
    <row r="14">
      <c r="A14" s="15"/>
      <c r="B14" s="12"/>
      <c r="C14" s="12"/>
      <c r="D14" s="12"/>
      <c r="E14" s="12"/>
      <c r="G14" s="86">
        <v>46085.0</v>
      </c>
      <c r="H14" s="21">
        <v>1854.0</v>
      </c>
      <c r="I14" s="21">
        <v>46.12</v>
      </c>
      <c r="J14" s="1"/>
      <c r="K14" s="13">
        <v>46049.0</v>
      </c>
      <c r="L14" s="27" t="s">
        <v>576</v>
      </c>
      <c r="M14" s="27" t="s">
        <v>578</v>
      </c>
      <c r="N14" s="21"/>
      <c r="O14" s="19"/>
      <c r="P14" s="19">
        <f t="shared" si="1"/>
        <v>0</v>
      </c>
      <c r="Q14" s="37"/>
      <c r="R14" s="37"/>
      <c r="S14" s="37"/>
    </row>
    <row r="15">
      <c r="A15" s="15"/>
      <c r="B15" s="12"/>
      <c r="C15" s="12"/>
      <c r="D15" s="12"/>
      <c r="E15" s="12"/>
      <c r="G15" s="87">
        <v>46087.0</v>
      </c>
      <c r="H15" s="21">
        <v>2508.0</v>
      </c>
      <c r="I15" s="21">
        <v>41.86</v>
      </c>
      <c r="J15" s="1"/>
      <c r="K15" s="13">
        <v>46049.0</v>
      </c>
      <c r="L15" s="27" t="s">
        <v>576</v>
      </c>
      <c r="M15" s="27" t="s">
        <v>282</v>
      </c>
      <c r="N15" s="21"/>
      <c r="O15" s="19"/>
      <c r="P15" s="19">
        <f t="shared" si="1"/>
        <v>0</v>
      </c>
      <c r="Q15" s="37"/>
      <c r="R15" s="37"/>
      <c r="S15" s="37"/>
    </row>
    <row r="16">
      <c r="A16" s="15"/>
      <c r="B16" s="12"/>
      <c r="C16" s="12"/>
      <c r="D16" s="12"/>
      <c r="E16" s="12"/>
      <c r="G16" s="87">
        <v>46099.0</v>
      </c>
      <c r="H16" s="21">
        <v>3093.0</v>
      </c>
      <c r="I16" s="21">
        <v>54.18</v>
      </c>
      <c r="J16" s="1"/>
      <c r="K16" s="13">
        <v>46049.0</v>
      </c>
      <c r="L16" s="27" t="s">
        <v>576</v>
      </c>
      <c r="M16" s="27" t="s">
        <v>633</v>
      </c>
      <c r="N16" s="21"/>
      <c r="O16" s="19"/>
      <c r="P16" s="19">
        <f t="shared" si="1"/>
        <v>0</v>
      </c>
      <c r="Q16" s="37"/>
      <c r="R16" s="37"/>
      <c r="S16" s="37"/>
    </row>
    <row r="17">
      <c r="A17" s="15"/>
      <c r="B17" s="12"/>
      <c r="C17" s="12"/>
      <c r="D17" s="12"/>
      <c r="E17" s="12"/>
      <c r="G17" s="87">
        <v>46112.0</v>
      </c>
      <c r="H17" s="21">
        <v>391.18</v>
      </c>
      <c r="I17" s="21">
        <v>51.15</v>
      </c>
      <c r="J17" s="1"/>
      <c r="K17" s="13">
        <v>46049.0</v>
      </c>
      <c r="L17" s="27" t="s">
        <v>576</v>
      </c>
      <c r="M17" s="27" t="s">
        <v>639</v>
      </c>
      <c r="N17" s="21"/>
      <c r="O17" s="19"/>
      <c r="P17" s="19">
        <f t="shared" si="1"/>
        <v>0</v>
      </c>
      <c r="Q17" s="37"/>
      <c r="R17" s="37"/>
      <c r="S17" s="37"/>
    </row>
    <row r="18">
      <c r="A18" s="15"/>
      <c r="B18" s="12"/>
      <c r="C18" s="12"/>
      <c r="D18" s="12"/>
      <c r="E18" s="12"/>
      <c r="G18" s="87">
        <v>46089.0</v>
      </c>
      <c r="H18" s="21">
        <v>4012.0</v>
      </c>
      <c r="I18" s="21">
        <v>46.02</v>
      </c>
      <c r="J18" s="1"/>
      <c r="K18" s="13">
        <v>46049.0</v>
      </c>
      <c r="L18" s="27" t="s">
        <v>576</v>
      </c>
      <c r="M18" s="27" t="s">
        <v>644</v>
      </c>
      <c r="N18" s="21"/>
      <c r="O18" s="19"/>
      <c r="P18" s="19">
        <f t="shared" si="1"/>
        <v>0</v>
      </c>
      <c r="Q18" s="37"/>
      <c r="R18" s="37"/>
      <c r="S18" s="37"/>
    </row>
    <row r="19">
      <c r="A19" s="15"/>
      <c r="B19" s="12"/>
      <c r="C19" s="12"/>
      <c r="D19" s="12"/>
      <c r="E19" s="12"/>
      <c r="G19" s="87">
        <v>46133.0</v>
      </c>
      <c r="H19" s="21">
        <v>4677.0</v>
      </c>
      <c r="I19" s="21">
        <v>56.34</v>
      </c>
      <c r="J19" s="1"/>
      <c r="K19" s="13">
        <v>46049.0</v>
      </c>
      <c r="L19" s="27" t="s">
        <v>576</v>
      </c>
      <c r="M19" s="27" t="s">
        <v>646</v>
      </c>
      <c r="N19" s="21"/>
      <c r="O19" s="19"/>
      <c r="P19" s="19">
        <f t="shared" si="1"/>
        <v>0</v>
      </c>
      <c r="Q19" s="37"/>
      <c r="R19" s="37"/>
      <c r="S19" s="37"/>
    </row>
    <row r="20">
      <c r="A20" s="15"/>
      <c r="B20" s="12"/>
      <c r="C20" s="12"/>
      <c r="D20" s="12"/>
      <c r="E20" s="12"/>
      <c r="G20" s="87">
        <v>46140.0</v>
      </c>
      <c r="H20" s="21">
        <v>5215.0</v>
      </c>
      <c r="I20" s="21">
        <v>50.31</v>
      </c>
      <c r="J20" s="1"/>
      <c r="K20" s="13">
        <v>46049.0</v>
      </c>
      <c r="L20" s="27" t="s">
        <v>576</v>
      </c>
      <c r="M20" s="27" t="s">
        <v>245</v>
      </c>
      <c r="N20" s="21"/>
      <c r="O20" s="19"/>
      <c r="P20" s="19">
        <f t="shared" si="1"/>
        <v>0</v>
      </c>
      <c r="Q20" s="37"/>
      <c r="R20" s="37"/>
      <c r="S20" s="37"/>
    </row>
    <row r="21">
      <c r="A21" s="15"/>
      <c r="B21" s="12"/>
      <c r="C21" s="12"/>
      <c r="D21" s="12"/>
      <c r="E21" s="12"/>
      <c r="G21" s="87">
        <v>46151.0</v>
      </c>
      <c r="H21" s="21">
        <v>5403.0</v>
      </c>
      <c r="I21" s="21">
        <v>42.0</v>
      </c>
      <c r="J21" s="1"/>
      <c r="K21" s="13">
        <v>46052.0</v>
      </c>
      <c r="L21" s="27" t="s">
        <v>576</v>
      </c>
      <c r="M21" s="27" t="s">
        <v>654</v>
      </c>
      <c r="N21" s="21"/>
      <c r="O21" s="19"/>
      <c r="P21" s="19">
        <f t="shared" si="1"/>
        <v>0</v>
      </c>
      <c r="Q21" s="37"/>
      <c r="R21" s="37"/>
      <c r="S21" s="37"/>
    </row>
    <row r="22">
      <c r="A22" s="15"/>
      <c r="B22" s="12"/>
      <c r="C22" s="12"/>
      <c r="D22" s="12"/>
      <c r="E22" s="12"/>
      <c r="G22" s="87">
        <v>46153.0</v>
      </c>
      <c r="H22" s="21">
        <v>6033.0</v>
      </c>
      <c r="I22" s="21">
        <v>51.46</v>
      </c>
      <c r="J22" s="1"/>
      <c r="K22" s="13">
        <v>46052.0</v>
      </c>
      <c r="L22" s="27" t="s">
        <v>576</v>
      </c>
      <c r="M22" s="27" t="s">
        <v>633</v>
      </c>
      <c r="N22" s="21"/>
      <c r="O22" s="19"/>
      <c r="P22" s="19">
        <f t="shared" si="1"/>
        <v>0</v>
      </c>
      <c r="Q22" s="37"/>
      <c r="R22" s="37"/>
      <c r="S22" s="37"/>
    </row>
    <row r="23">
      <c r="A23" s="15"/>
      <c r="B23" s="12"/>
      <c r="C23" s="12"/>
      <c r="D23" s="12"/>
      <c r="E23" s="12"/>
      <c r="G23" s="87">
        <v>46156.0</v>
      </c>
      <c r="H23" s="21">
        <v>6993.0</v>
      </c>
      <c r="I23" s="21">
        <v>47.61</v>
      </c>
      <c r="J23" s="1"/>
      <c r="K23" s="13">
        <v>46052.0</v>
      </c>
      <c r="L23" s="27" t="s">
        <v>576</v>
      </c>
      <c r="M23" s="27" t="s">
        <v>608</v>
      </c>
      <c r="N23" s="21"/>
      <c r="O23" s="19"/>
      <c r="P23" s="19">
        <f t="shared" si="1"/>
        <v>0</v>
      </c>
      <c r="Q23" s="37"/>
      <c r="R23" s="37"/>
      <c r="S23" s="37"/>
    </row>
    <row r="24">
      <c r="A24" s="15"/>
      <c r="B24" s="12"/>
      <c r="C24" s="12"/>
      <c r="D24" s="12"/>
      <c r="E24" s="12"/>
      <c r="G24" s="87">
        <v>46167.0</v>
      </c>
      <c r="H24" s="21">
        <v>7169.0</v>
      </c>
      <c r="I24" s="21">
        <v>46.35</v>
      </c>
      <c r="J24" s="1"/>
      <c r="K24" s="13">
        <v>46052.0</v>
      </c>
      <c r="L24" s="27" t="s">
        <v>576</v>
      </c>
      <c r="M24" s="27" t="s">
        <v>610</v>
      </c>
      <c r="N24" s="21"/>
      <c r="O24" s="19"/>
      <c r="P24" s="19">
        <f t="shared" si="1"/>
        <v>0</v>
      </c>
      <c r="Q24" s="37"/>
      <c r="R24" s="37"/>
      <c r="S24" s="37"/>
    </row>
    <row r="25">
      <c r="A25" s="15"/>
      <c r="B25" s="12"/>
      <c r="C25" s="12"/>
      <c r="D25" s="12"/>
      <c r="E25" s="12"/>
      <c r="G25" s="87">
        <v>46173.0</v>
      </c>
      <c r="H25" s="21">
        <v>7172.0</v>
      </c>
      <c r="I25" s="21">
        <v>29.92</v>
      </c>
      <c r="J25" s="1"/>
      <c r="K25" s="13">
        <v>46052.0</v>
      </c>
      <c r="L25" s="27" t="s">
        <v>576</v>
      </c>
      <c r="M25" s="27" t="s">
        <v>644</v>
      </c>
      <c r="N25" s="21"/>
      <c r="O25" s="19"/>
      <c r="P25" s="19">
        <f t="shared" si="1"/>
        <v>0</v>
      </c>
      <c r="Q25" s="37"/>
      <c r="R25" s="37"/>
      <c r="S25" s="37"/>
    </row>
    <row r="26">
      <c r="A26" s="15"/>
      <c r="B26" s="12"/>
      <c r="C26" s="12"/>
      <c r="D26" s="12"/>
      <c r="E26" s="12"/>
      <c r="G26" s="87">
        <v>46177.0</v>
      </c>
      <c r="H26" s="21">
        <v>7192.0</v>
      </c>
      <c r="I26" s="21">
        <v>40.0</v>
      </c>
      <c r="J26" s="1"/>
      <c r="K26" s="13">
        <v>46052.0</v>
      </c>
      <c r="L26" s="27" t="s">
        <v>576</v>
      </c>
      <c r="M26" s="27" t="s">
        <v>132</v>
      </c>
      <c r="N26" s="21"/>
      <c r="O26" s="19"/>
      <c r="P26" s="19">
        <f t="shared" si="1"/>
        <v>0</v>
      </c>
      <c r="Q26" s="37"/>
      <c r="R26" s="37"/>
      <c r="S26" s="37"/>
    </row>
    <row r="27">
      <c r="A27" s="15"/>
      <c r="B27" s="12"/>
      <c r="C27" s="12"/>
      <c r="D27" s="12"/>
      <c r="E27" s="12"/>
      <c r="G27" s="87">
        <v>46182.0</v>
      </c>
      <c r="H27" s="21">
        <v>7876.0</v>
      </c>
      <c r="I27" s="21">
        <v>39.19</v>
      </c>
      <c r="J27" s="1"/>
      <c r="K27" s="13">
        <v>46052.0</v>
      </c>
      <c r="L27" s="27" t="s">
        <v>576</v>
      </c>
      <c r="M27" s="27" t="s">
        <v>245</v>
      </c>
      <c r="N27" s="21"/>
      <c r="O27" s="19"/>
      <c r="P27" s="19">
        <f t="shared" si="1"/>
        <v>0</v>
      </c>
      <c r="Q27" s="40"/>
      <c r="R27" s="40"/>
      <c r="S27" s="40"/>
    </row>
    <row r="28">
      <c r="A28" s="15"/>
      <c r="B28" s="12"/>
      <c r="C28" s="12"/>
      <c r="D28" s="12"/>
      <c r="E28" s="12"/>
      <c r="G28" s="87">
        <v>46195.0</v>
      </c>
      <c r="H28" s="21">
        <v>8460.0</v>
      </c>
      <c r="I28" s="21">
        <v>52.21</v>
      </c>
      <c r="J28" s="1"/>
      <c r="K28" s="13">
        <v>46056.0</v>
      </c>
      <c r="L28" s="82"/>
      <c r="M28" s="19" t="s">
        <v>47</v>
      </c>
      <c r="N28" s="21"/>
      <c r="O28" s="19"/>
      <c r="P28" s="19">
        <f t="shared" si="1"/>
        <v>0</v>
      </c>
      <c r="Q28" s="27"/>
      <c r="R28" s="19"/>
      <c r="S28" s="19"/>
    </row>
    <row r="29">
      <c r="A29" s="15"/>
      <c r="B29" s="12"/>
      <c r="C29" s="12"/>
      <c r="D29" s="12"/>
      <c r="E29" s="12"/>
      <c r="G29" s="87">
        <v>46210.0</v>
      </c>
      <c r="H29" s="21">
        <v>8910.0</v>
      </c>
      <c r="I29" s="21">
        <v>30.0</v>
      </c>
      <c r="J29" s="1"/>
      <c r="K29" s="13">
        <v>46071.0</v>
      </c>
      <c r="L29" s="27" t="s">
        <v>694</v>
      </c>
      <c r="M29" s="27" t="s">
        <v>695</v>
      </c>
      <c r="N29" s="21"/>
      <c r="O29" s="19"/>
      <c r="P29" s="19">
        <f t="shared" si="1"/>
        <v>0</v>
      </c>
      <c r="Q29" s="90" t="s">
        <v>698</v>
      </c>
      <c r="R29" s="83" t="s">
        <v>701</v>
      </c>
      <c r="S29" s="83" t="s">
        <v>703</v>
      </c>
    </row>
    <row r="30">
      <c r="G30" s="87">
        <v>46216.0</v>
      </c>
      <c r="H30" s="21">
        <v>9287.0</v>
      </c>
      <c r="I30" s="21">
        <v>54.53</v>
      </c>
      <c r="J30" s="1"/>
      <c r="K30" s="13">
        <v>46071.0</v>
      </c>
      <c r="L30" s="27" t="s">
        <v>694</v>
      </c>
      <c r="M30" s="27" t="s">
        <v>403</v>
      </c>
      <c r="N30" s="21"/>
      <c r="O30" s="19"/>
      <c r="P30" s="19">
        <f t="shared" si="1"/>
        <v>0</v>
      </c>
      <c r="Q30" s="37"/>
      <c r="R30" s="37"/>
      <c r="S30" s="37"/>
    </row>
    <row r="31">
      <c r="G31" s="87">
        <v>46220.0</v>
      </c>
      <c r="H31" s="21">
        <v>9759.0</v>
      </c>
      <c r="I31" s="21">
        <v>44.01</v>
      </c>
      <c r="J31" s="1"/>
      <c r="K31" s="13">
        <v>46071.0</v>
      </c>
      <c r="L31" s="27" t="s">
        <v>694</v>
      </c>
      <c r="M31" s="27" t="s">
        <v>712</v>
      </c>
      <c r="N31" s="21"/>
      <c r="O31" s="19"/>
      <c r="P31" s="19">
        <f t="shared" si="1"/>
        <v>0</v>
      </c>
      <c r="Q31" s="37"/>
      <c r="R31" s="37"/>
      <c r="S31" s="37"/>
    </row>
    <row r="32">
      <c r="G32" s="87">
        <v>46231.0</v>
      </c>
      <c r="H32" s="21">
        <v>10902.0</v>
      </c>
      <c r="I32" s="21">
        <v>50.02</v>
      </c>
      <c r="J32" s="1"/>
      <c r="K32" s="13">
        <v>46071.0</v>
      </c>
      <c r="L32" s="27" t="s">
        <v>694</v>
      </c>
      <c r="M32" s="27" t="s">
        <v>716</v>
      </c>
      <c r="N32" s="21"/>
      <c r="O32" s="19"/>
      <c r="P32" s="19">
        <f t="shared" si="1"/>
        <v>0</v>
      </c>
      <c r="Q32" s="37"/>
      <c r="R32" s="37"/>
      <c r="S32" s="37"/>
    </row>
    <row r="33">
      <c r="G33" s="95"/>
      <c r="J33" s="16"/>
      <c r="K33" s="13">
        <v>46071.0</v>
      </c>
      <c r="L33" s="27" t="s">
        <v>694</v>
      </c>
      <c r="M33" s="27" t="s">
        <v>725</v>
      </c>
      <c r="N33" s="21"/>
      <c r="O33" s="19"/>
      <c r="P33" s="19">
        <f t="shared" si="1"/>
        <v>0</v>
      </c>
      <c r="Q33" s="40"/>
      <c r="R33" s="40"/>
      <c r="S33" s="40"/>
    </row>
    <row r="34">
      <c r="J34" s="16"/>
      <c r="K34" s="13">
        <v>46084.0</v>
      </c>
      <c r="L34" s="27" t="s">
        <v>731</v>
      </c>
      <c r="M34" s="27" t="s">
        <v>654</v>
      </c>
      <c r="N34" s="21"/>
      <c r="O34" s="19"/>
      <c r="P34" s="19">
        <f t="shared" si="1"/>
        <v>0</v>
      </c>
      <c r="Q34" s="34" t="s">
        <v>735</v>
      </c>
      <c r="R34" s="96" t="s">
        <v>749</v>
      </c>
      <c r="S34" s="83" t="s">
        <v>757</v>
      </c>
    </row>
    <row r="35">
      <c r="J35" s="16"/>
      <c r="K35" s="13">
        <v>46084.0</v>
      </c>
      <c r="L35" s="27" t="s">
        <v>731</v>
      </c>
      <c r="M35" s="27" t="s">
        <v>763</v>
      </c>
      <c r="N35" s="21"/>
      <c r="O35" s="19"/>
      <c r="P35" s="19">
        <f t="shared" si="1"/>
        <v>0</v>
      </c>
      <c r="Q35" s="37"/>
      <c r="R35" s="37"/>
      <c r="S35" s="37"/>
    </row>
    <row r="36">
      <c r="J36" s="16"/>
      <c r="K36" s="13">
        <v>46084.0</v>
      </c>
      <c r="L36" s="27" t="s">
        <v>731</v>
      </c>
      <c r="M36" s="27" t="s">
        <v>768</v>
      </c>
      <c r="N36" s="21"/>
      <c r="O36" s="19"/>
      <c r="P36" s="19">
        <f t="shared" si="1"/>
        <v>0</v>
      </c>
      <c r="Q36" s="37"/>
      <c r="R36" s="37"/>
      <c r="S36" s="37"/>
    </row>
    <row r="37">
      <c r="J37" s="16"/>
      <c r="K37" s="13">
        <v>46084.0</v>
      </c>
      <c r="L37" s="27" t="s">
        <v>731</v>
      </c>
      <c r="M37" s="27" t="s">
        <v>393</v>
      </c>
      <c r="N37" s="21"/>
      <c r="O37" s="19"/>
      <c r="P37" s="19">
        <f t="shared" si="1"/>
        <v>0</v>
      </c>
      <c r="Q37" s="37"/>
      <c r="R37" s="37"/>
      <c r="S37" s="37"/>
    </row>
    <row r="38">
      <c r="J38" s="16"/>
      <c r="K38" s="13">
        <v>46084.0</v>
      </c>
      <c r="L38" s="27" t="s">
        <v>731</v>
      </c>
      <c r="M38" s="27" t="s">
        <v>774</v>
      </c>
      <c r="N38" s="21"/>
      <c r="O38" s="19"/>
      <c r="P38" s="19">
        <f t="shared" si="1"/>
        <v>0</v>
      </c>
      <c r="Q38" s="37"/>
      <c r="R38" s="37"/>
      <c r="S38" s="37"/>
    </row>
    <row r="39">
      <c r="J39" s="16"/>
      <c r="K39" s="13">
        <v>46084.0</v>
      </c>
      <c r="L39" s="27" t="s">
        <v>731</v>
      </c>
      <c r="M39" s="27" t="s">
        <v>716</v>
      </c>
      <c r="N39" s="21"/>
      <c r="O39" s="19"/>
      <c r="P39" s="19">
        <f t="shared" si="1"/>
        <v>0</v>
      </c>
      <c r="Q39" s="37"/>
      <c r="R39" s="37"/>
      <c r="S39" s="37"/>
    </row>
    <row r="40">
      <c r="J40" s="16"/>
      <c r="K40" s="13">
        <v>46084.0</v>
      </c>
      <c r="L40" s="27" t="s">
        <v>731</v>
      </c>
      <c r="M40" s="27" t="s">
        <v>599</v>
      </c>
      <c r="N40" s="21"/>
      <c r="O40" s="19"/>
      <c r="P40" s="19">
        <f t="shared" si="1"/>
        <v>0</v>
      </c>
      <c r="Q40" s="37"/>
      <c r="R40" s="37"/>
      <c r="S40" s="37"/>
    </row>
    <row r="41">
      <c r="J41" s="16"/>
      <c r="K41" s="13">
        <v>46084.0</v>
      </c>
      <c r="L41" s="27" t="s">
        <v>731</v>
      </c>
      <c r="M41" s="27" t="s">
        <v>604</v>
      </c>
      <c r="N41" s="21"/>
      <c r="O41" s="19"/>
      <c r="P41" s="19">
        <f t="shared" si="1"/>
        <v>0</v>
      </c>
      <c r="Q41" s="37"/>
      <c r="R41" s="37"/>
      <c r="S41" s="37"/>
    </row>
    <row r="42">
      <c r="J42" s="16"/>
      <c r="K42" s="13">
        <v>46084.0</v>
      </c>
      <c r="L42" s="27" t="s">
        <v>731</v>
      </c>
      <c r="M42" s="27" t="s">
        <v>792</v>
      </c>
      <c r="N42" s="21"/>
      <c r="O42" s="19"/>
      <c r="P42" s="19">
        <f t="shared" si="1"/>
        <v>0</v>
      </c>
      <c r="Q42" s="37"/>
      <c r="R42" s="37"/>
      <c r="S42" s="37"/>
    </row>
    <row r="43">
      <c r="J43" s="16"/>
      <c r="K43" s="13">
        <v>46084.0</v>
      </c>
      <c r="L43" s="27" t="s">
        <v>731</v>
      </c>
      <c r="M43" s="27" t="s">
        <v>480</v>
      </c>
      <c r="N43" s="21"/>
      <c r="O43" s="19"/>
      <c r="P43" s="19">
        <f t="shared" si="1"/>
        <v>0</v>
      </c>
      <c r="Q43" s="37"/>
      <c r="R43" s="37"/>
      <c r="S43" s="37"/>
    </row>
    <row r="44">
      <c r="J44" s="16"/>
      <c r="K44" s="13">
        <v>46084.0</v>
      </c>
      <c r="L44" s="27" t="s">
        <v>731</v>
      </c>
      <c r="M44" s="27" t="s">
        <v>132</v>
      </c>
      <c r="N44" s="21"/>
      <c r="O44" s="19"/>
      <c r="P44" s="19">
        <f t="shared" si="1"/>
        <v>0</v>
      </c>
      <c r="Q44" s="37"/>
      <c r="R44" s="37"/>
      <c r="S44" s="37"/>
    </row>
    <row r="45">
      <c r="J45" s="16"/>
      <c r="K45" s="13">
        <v>46084.0</v>
      </c>
      <c r="L45" s="27" t="s">
        <v>731</v>
      </c>
      <c r="M45" s="27" t="s">
        <v>119</v>
      </c>
      <c r="N45" s="21"/>
      <c r="O45" s="19"/>
      <c r="P45" s="19">
        <f t="shared" si="1"/>
        <v>0</v>
      </c>
      <c r="Q45" s="40"/>
      <c r="R45" s="40"/>
      <c r="S45" s="40"/>
    </row>
    <row r="46">
      <c r="J46" s="16"/>
      <c r="K46" s="13">
        <v>46085.0</v>
      </c>
      <c r="L46" s="27" t="s">
        <v>803</v>
      </c>
      <c r="M46" s="27" t="s">
        <v>55</v>
      </c>
      <c r="N46" s="21"/>
      <c r="O46" s="19"/>
      <c r="P46" s="19">
        <f t="shared" si="1"/>
        <v>0</v>
      </c>
      <c r="Q46" s="90" t="s">
        <v>804</v>
      </c>
      <c r="R46" s="41" t="s">
        <v>805</v>
      </c>
      <c r="S46" s="41" t="s">
        <v>806</v>
      </c>
    </row>
    <row r="47">
      <c r="J47" s="16"/>
      <c r="K47" s="13">
        <v>46085.0</v>
      </c>
      <c r="L47" s="27" t="s">
        <v>803</v>
      </c>
      <c r="M47" s="27" t="s">
        <v>435</v>
      </c>
      <c r="N47" s="21"/>
      <c r="O47" s="19"/>
      <c r="P47" s="19">
        <f t="shared" si="1"/>
        <v>0</v>
      </c>
      <c r="Q47" s="37"/>
      <c r="R47" s="37"/>
      <c r="S47" s="37"/>
    </row>
    <row r="48">
      <c r="J48" s="16"/>
      <c r="K48" s="13">
        <v>46085.0</v>
      </c>
      <c r="L48" s="27" t="s">
        <v>803</v>
      </c>
      <c r="M48" s="27" t="s">
        <v>119</v>
      </c>
      <c r="N48" s="21"/>
      <c r="O48" s="19"/>
      <c r="P48" s="19">
        <f t="shared" si="1"/>
        <v>0</v>
      </c>
      <c r="Q48" s="37"/>
      <c r="R48" s="37"/>
      <c r="S48" s="37"/>
    </row>
    <row r="49">
      <c r="J49" s="16"/>
      <c r="K49" s="13">
        <v>46085.0</v>
      </c>
      <c r="L49" s="27" t="s">
        <v>803</v>
      </c>
      <c r="M49" s="27" t="s">
        <v>387</v>
      </c>
      <c r="N49" s="21"/>
      <c r="O49" s="19"/>
      <c r="P49" s="19">
        <f t="shared" si="1"/>
        <v>0</v>
      </c>
      <c r="Q49" s="37"/>
      <c r="R49" s="37"/>
      <c r="S49" s="37"/>
    </row>
    <row r="50">
      <c r="J50" s="16"/>
      <c r="K50" s="13">
        <v>46085.0</v>
      </c>
      <c r="L50" s="27" t="s">
        <v>803</v>
      </c>
      <c r="M50" s="27" t="s">
        <v>367</v>
      </c>
      <c r="N50" s="21"/>
      <c r="O50" s="19"/>
      <c r="P50" s="19">
        <f t="shared" si="1"/>
        <v>0</v>
      </c>
      <c r="Q50" s="37"/>
      <c r="R50" s="37"/>
      <c r="S50" s="37"/>
    </row>
    <row r="51">
      <c r="J51" s="16"/>
      <c r="K51" s="13">
        <v>46085.0</v>
      </c>
      <c r="L51" s="27" t="s">
        <v>803</v>
      </c>
      <c r="M51" s="27" t="s">
        <v>119</v>
      </c>
      <c r="N51" s="21"/>
      <c r="O51" s="19"/>
      <c r="P51" s="19">
        <f t="shared" si="1"/>
        <v>0</v>
      </c>
      <c r="Q51" s="37"/>
      <c r="R51" s="37"/>
      <c r="S51" s="37"/>
    </row>
    <row r="52">
      <c r="J52" s="16"/>
      <c r="K52" s="13">
        <v>46086.0</v>
      </c>
      <c r="L52" s="27" t="s">
        <v>803</v>
      </c>
      <c r="M52" s="27" t="s">
        <v>174</v>
      </c>
      <c r="N52" s="21"/>
      <c r="O52" s="19"/>
      <c r="P52" s="19">
        <f t="shared" si="1"/>
        <v>0</v>
      </c>
      <c r="Q52" s="37"/>
      <c r="R52" s="37"/>
      <c r="S52" s="37"/>
    </row>
    <row r="53">
      <c r="J53" s="16"/>
      <c r="K53" s="13">
        <v>46086.0</v>
      </c>
      <c r="L53" s="27" t="s">
        <v>803</v>
      </c>
      <c r="M53" s="27" t="s">
        <v>132</v>
      </c>
      <c r="N53" s="21"/>
      <c r="O53" s="19"/>
      <c r="P53" s="19">
        <f t="shared" si="1"/>
        <v>0</v>
      </c>
      <c r="Q53" s="37"/>
      <c r="R53" s="37"/>
      <c r="S53" s="37"/>
    </row>
    <row r="54">
      <c r="J54" s="16"/>
      <c r="K54" s="13">
        <v>46086.0</v>
      </c>
      <c r="L54" s="27" t="s">
        <v>803</v>
      </c>
      <c r="M54" s="27" t="s">
        <v>138</v>
      </c>
      <c r="N54" s="21"/>
      <c r="O54" s="19"/>
      <c r="P54" s="19">
        <f t="shared" si="1"/>
        <v>0</v>
      </c>
      <c r="Q54" s="37"/>
      <c r="R54" s="37"/>
      <c r="S54" s="37"/>
    </row>
    <row r="55">
      <c r="J55" s="16"/>
      <c r="K55" s="13">
        <v>46086.0</v>
      </c>
      <c r="L55" s="27" t="s">
        <v>803</v>
      </c>
      <c r="M55" s="27" t="s">
        <v>175</v>
      </c>
      <c r="N55" s="21"/>
      <c r="O55" s="19"/>
      <c r="P55" s="19">
        <f t="shared" si="1"/>
        <v>0</v>
      </c>
      <c r="Q55" s="37"/>
      <c r="R55" s="37"/>
      <c r="S55" s="37"/>
    </row>
    <row r="56">
      <c r="J56" s="16"/>
      <c r="K56" s="13">
        <v>46086.0</v>
      </c>
      <c r="L56" s="27" t="s">
        <v>803</v>
      </c>
      <c r="M56" s="27" t="s">
        <v>480</v>
      </c>
      <c r="N56" s="21"/>
      <c r="O56" s="19"/>
      <c r="P56" s="19">
        <f t="shared" si="1"/>
        <v>0</v>
      </c>
      <c r="Q56" s="37"/>
      <c r="R56" s="37"/>
      <c r="S56" s="37"/>
    </row>
    <row r="57">
      <c r="J57" s="16"/>
      <c r="K57" s="13">
        <v>46086.0</v>
      </c>
      <c r="L57" s="27" t="s">
        <v>803</v>
      </c>
      <c r="M57" s="27" t="s">
        <v>367</v>
      </c>
      <c r="N57" s="21"/>
      <c r="O57" s="19"/>
      <c r="P57" s="19">
        <f t="shared" si="1"/>
        <v>0</v>
      </c>
      <c r="Q57" s="37"/>
      <c r="R57" s="37"/>
      <c r="S57" s="37"/>
    </row>
    <row r="58">
      <c r="J58" s="16"/>
      <c r="K58" s="13">
        <v>46086.0</v>
      </c>
      <c r="L58" s="27" t="s">
        <v>807</v>
      </c>
      <c r="M58" s="27" t="s">
        <v>271</v>
      </c>
      <c r="N58" s="21"/>
      <c r="O58" s="19"/>
      <c r="P58" s="19">
        <f t="shared" si="1"/>
        <v>0</v>
      </c>
      <c r="Q58" s="37"/>
      <c r="R58" s="37"/>
      <c r="S58" s="37"/>
    </row>
    <row r="59">
      <c r="J59" s="16"/>
      <c r="K59" s="13">
        <v>46087.0</v>
      </c>
      <c r="L59" s="27" t="s">
        <v>807</v>
      </c>
      <c r="M59" s="27" t="s">
        <v>235</v>
      </c>
      <c r="N59" s="21"/>
      <c r="O59" s="19"/>
      <c r="P59" s="19">
        <f t="shared" si="1"/>
        <v>0</v>
      </c>
      <c r="Q59" s="37"/>
      <c r="R59" s="37"/>
      <c r="S59" s="37"/>
    </row>
    <row r="60">
      <c r="J60" s="16"/>
      <c r="K60" s="13">
        <v>46087.0</v>
      </c>
      <c r="L60" s="27" t="s">
        <v>807</v>
      </c>
      <c r="M60" s="27" t="s">
        <v>271</v>
      </c>
      <c r="N60" s="21"/>
      <c r="O60" s="19"/>
      <c r="P60" s="19">
        <f t="shared" si="1"/>
        <v>0</v>
      </c>
      <c r="Q60" s="40"/>
      <c r="R60" s="40"/>
      <c r="S60" s="40"/>
    </row>
    <row r="61">
      <c r="K61" s="13">
        <v>46097.0</v>
      </c>
      <c r="L61" s="12"/>
      <c r="M61" s="21" t="s">
        <v>196</v>
      </c>
      <c r="N61" s="21"/>
      <c r="O61" s="19"/>
      <c r="P61" s="19">
        <f t="shared" si="1"/>
        <v>0</v>
      </c>
      <c r="Q61" s="12"/>
      <c r="R61" s="12"/>
      <c r="S61" s="12"/>
    </row>
    <row r="62">
      <c r="K62" s="13">
        <v>46097.0</v>
      </c>
      <c r="L62" s="12"/>
      <c r="M62" s="21" t="s">
        <v>223</v>
      </c>
      <c r="N62" s="21"/>
      <c r="O62" s="19"/>
      <c r="P62" s="19">
        <f t="shared" si="1"/>
        <v>0</v>
      </c>
      <c r="Q62" s="12"/>
      <c r="R62" s="12"/>
      <c r="S62" s="12"/>
    </row>
    <row r="63">
      <c r="K63" s="13">
        <v>46098.0</v>
      </c>
      <c r="L63" s="12"/>
      <c r="M63" s="21" t="s">
        <v>250</v>
      </c>
      <c r="N63" s="21"/>
      <c r="O63" s="19"/>
      <c r="P63" s="19">
        <f t="shared" si="1"/>
        <v>0</v>
      </c>
      <c r="Q63" s="12"/>
      <c r="R63" s="12"/>
      <c r="S63" s="12"/>
    </row>
    <row r="64">
      <c r="K64" s="13">
        <v>46098.0</v>
      </c>
      <c r="L64" s="12"/>
      <c r="M64" s="21" t="s">
        <v>808</v>
      </c>
      <c r="N64" s="21"/>
      <c r="O64" s="19"/>
      <c r="P64" s="19">
        <f t="shared" si="1"/>
        <v>0</v>
      </c>
      <c r="Q64" s="12"/>
      <c r="R64" s="12"/>
      <c r="S64" s="12"/>
    </row>
    <row r="65">
      <c r="K65" s="13">
        <v>46100.0</v>
      </c>
      <c r="L65" s="12"/>
      <c r="M65" s="21" t="s">
        <v>47</v>
      </c>
      <c r="N65" s="21"/>
      <c r="O65" s="19"/>
      <c r="P65" s="19">
        <f t="shared" si="1"/>
        <v>0</v>
      </c>
      <c r="Q65" s="12"/>
      <c r="R65" s="12"/>
      <c r="S65" s="12"/>
    </row>
    <row r="66">
      <c r="K66" s="13">
        <v>46113.0</v>
      </c>
      <c r="L66" s="12"/>
      <c r="M66" s="21" t="s">
        <v>249</v>
      </c>
      <c r="N66" s="21"/>
      <c r="O66" s="19"/>
      <c r="P66" s="19">
        <f t="shared" si="1"/>
        <v>0</v>
      </c>
      <c r="Q66" s="12"/>
      <c r="R66" s="12"/>
      <c r="S66" s="12"/>
    </row>
    <row r="67">
      <c r="K67" s="13">
        <v>46113.0</v>
      </c>
      <c r="L67" s="12"/>
      <c r="M67" s="21" t="s">
        <v>809</v>
      </c>
      <c r="N67" s="21"/>
      <c r="O67" s="19"/>
      <c r="P67" s="19">
        <f t="shared" si="1"/>
        <v>0</v>
      </c>
      <c r="Q67" s="12"/>
      <c r="R67" s="12"/>
      <c r="S67" s="12"/>
    </row>
    <row r="68">
      <c r="K68" s="13">
        <v>46118.0</v>
      </c>
      <c r="L68" s="12"/>
      <c r="M68" s="21" t="s">
        <v>810</v>
      </c>
      <c r="N68" s="21"/>
      <c r="O68" s="19"/>
      <c r="P68" s="19">
        <f t="shared" si="1"/>
        <v>0</v>
      </c>
      <c r="Q68" s="12"/>
      <c r="R68" s="12"/>
      <c r="S68" s="12"/>
    </row>
    <row r="69">
      <c r="K69" s="13">
        <v>46118.0</v>
      </c>
      <c r="L69" s="12"/>
      <c r="M69" s="21" t="s">
        <v>367</v>
      </c>
      <c r="N69" s="21"/>
      <c r="O69" s="19"/>
      <c r="P69" s="19">
        <f t="shared" si="1"/>
        <v>0</v>
      </c>
      <c r="Q69" s="12"/>
      <c r="R69" s="12"/>
      <c r="S69" s="12"/>
    </row>
    <row r="70">
      <c r="K70" s="13">
        <v>46118.0</v>
      </c>
      <c r="L70" s="12"/>
      <c r="M70" s="21" t="s">
        <v>138</v>
      </c>
      <c r="N70" s="21"/>
      <c r="O70" s="19"/>
      <c r="P70" s="19">
        <f t="shared" si="1"/>
        <v>0</v>
      </c>
      <c r="Q70" s="12"/>
      <c r="R70" s="12"/>
      <c r="S70" s="12"/>
    </row>
    <row r="71">
      <c r="K71" s="13">
        <v>46119.0</v>
      </c>
      <c r="L71" s="12"/>
      <c r="M71" s="21" t="s">
        <v>258</v>
      </c>
      <c r="N71" s="21"/>
      <c r="O71" s="19"/>
      <c r="P71" s="19">
        <f t="shared" si="1"/>
        <v>0</v>
      </c>
      <c r="Q71" s="12"/>
      <c r="R71" s="12"/>
      <c r="S71" s="12"/>
    </row>
    <row r="72">
      <c r="K72" s="13">
        <v>46119.0</v>
      </c>
      <c r="L72" s="12"/>
      <c r="M72" s="21" t="s">
        <v>326</v>
      </c>
      <c r="N72" s="21"/>
      <c r="O72" s="19"/>
      <c r="P72" s="19">
        <f t="shared" si="1"/>
        <v>0</v>
      </c>
      <c r="Q72" s="12"/>
      <c r="R72" s="12"/>
      <c r="S72" s="12"/>
    </row>
    <row r="73">
      <c r="K73" s="13">
        <v>46120.0</v>
      </c>
      <c r="L73" s="12"/>
      <c r="M73" s="21" t="s">
        <v>362</v>
      </c>
      <c r="N73" s="21"/>
      <c r="O73" s="19"/>
      <c r="P73" s="19">
        <f t="shared" si="1"/>
        <v>0</v>
      </c>
      <c r="Q73" s="12"/>
      <c r="R73" s="12"/>
      <c r="S73" s="12"/>
    </row>
    <row r="74">
      <c r="K74" s="13">
        <v>46120.0</v>
      </c>
      <c r="L74" s="12"/>
      <c r="M74" s="21" t="s">
        <v>320</v>
      </c>
      <c r="N74" s="21"/>
      <c r="O74" s="19"/>
      <c r="P74" s="19">
        <f t="shared" si="1"/>
        <v>0</v>
      </c>
      <c r="Q74" s="12"/>
      <c r="R74" s="12"/>
      <c r="S74" s="12"/>
    </row>
    <row r="75">
      <c r="K75" s="13">
        <v>46120.0</v>
      </c>
      <c r="L75" s="12"/>
      <c r="M75" s="21" t="s">
        <v>271</v>
      </c>
      <c r="N75" s="21"/>
      <c r="O75" s="19"/>
      <c r="P75" s="19">
        <f t="shared" si="1"/>
        <v>0</v>
      </c>
      <c r="Q75" s="12"/>
      <c r="R75" s="12"/>
      <c r="S75" s="12"/>
    </row>
    <row r="76">
      <c r="K76" s="13">
        <v>46128.0</v>
      </c>
      <c r="L76" s="12"/>
      <c r="M76" s="21" t="s">
        <v>258</v>
      </c>
      <c r="N76" s="21"/>
      <c r="O76" s="19"/>
      <c r="P76" s="19">
        <f t="shared" si="1"/>
        <v>0</v>
      </c>
      <c r="Q76" s="12"/>
      <c r="R76" s="12"/>
      <c r="S76" s="12"/>
    </row>
    <row r="77">
      <c r="K77" s="13">
        <v>46128.0</v>
      </c>
      <c r="L77" s="12"/>
      <c r="M77" s="21" t="s">
        <v>808</v>
      </c>
      <c r="N77" s="21"/>
      <c r="O77" s="19"/>
      <c r="P77" s="19">
        <f t="shared" si="1"/>
        <v>0</v>
      </c>
      <c r="Q77" s="12"/>
      <c r="R77" s="12"/>
      <c r="S77" s="12"/>
    </row>
    <row r="78">
      <c r="K78" s="13">
        <v>46128.0</v>
      </c>
      <c r="L78" s="12"/>
      <c r="M78" s="21" t="s">
        <v>208</v>
      </c>
      <c r="N78" s="21"/>
      <c r="O78" s="19"/>
      <c r="P78" s="19">
        <f t="shared" si="1"/>
        <v>0</v>
      </c>
      <c r="Q78" s="12"/>
      <c r="R78" s="12"/>
      <c r="S78" s="12"/>
    </row>
    <row r="79">
      <c r="K79" s="13">
        <v>46128.0</v>
      </c>
      <c r="L79" s="12"/>
      <c r="M79" s="21" t="s">
        <v>808</v>
      </c>
      <c r="N79" s="21"/>
      <c r="O79" s="19"/>
      <c r="P79" s="19">
        <f t="shared" si="1"/>
        <v>0</v>
      </c>
      <c r="Q79" s="12"/>
      <c r="R79" s="12"/>
      <c r="S79" s="12"/>
    </row>
    <row r="80">
      <c r="K80" s="13">
        <v>46132.0</v>
      </c>
      <c r="L80" s="12"/>
      <c r="M80" s="21" t="s">
        <v>414</v>
      </c>
      <c r="N80" s="21"/>
      <c r="O80" s="19"/>
      <c r="P80" s="19">
        <f t="shared" si="1"/>
        <v>0</v>
      </c>
      <c r="Q80" s="12"/>
      <c r="R80" s="12"/>
      <c r="S80" s="12"/>
    </row>
    <row r="81">
      <c r="K81" s="13">
        <v>46132.0</v>
      </c>
      <c r="L81" s="12"/>
      <c r="M81" s="21" t="s">
        <v>128</v>
      </c>
      <c r="N81" s="21"/>
      <c r="O81" s="19"/>
      <c r="P81" s="19">
        <f t="shared" si="1"/>
        <v>0</v>
      </c>
      <c r="Q81" s="12"/>
      <c r="R81" s="12"/>
      <c r="S81" s="12"/>
    </row>
    <row r="82">
      <c r="K82" s="13">
        <v>46132.0</v>
      </c>
      <c r="L82" s="12"/>
      <c r="M82" s="21" t="s">
        <v>481</v>
      </c>
      <c r="N82" s="21"/>
      <c r="O82" s="19"/>
      <c r="P82" s="19">
        <f t="shared" si="1"/>
        <v>0</v>
      </c>
      <c r="Q82" s="12"/>
      <c r="R82" s="12"/>
      <c r="S82" s="12"/>
    </row>
    <row r="83">
      <c r="K83" s="13">
        <v>46132.0</v>
      </c>
      <c r="L83" s="12"/>
      <c r="M83" s="21" t="s">
        <v>167</v>
      </c>
      <c r="N83" s="21"/>
      <c r="O83" s="19"/>
      <c r="P83" s="19">
        <f t="shared" si="1"/>
        <v>0</v>
      </c>
      <c r="Q83" s="12"/>
      <c r="R83" s="12"/>
      <c r="S83" s="12"/>
    </row>
    <row r="84">
      <c r="K84" s="13">
        <v>46133.0</v>
      </c>
      <c r="L84" s="12"/>
      <c r="M84" s="21" t="s">
        <v>282</v>
      </c>
      <c r="N84" s="21"/>
      <c r="O84" s="19"/>
      <c r="P84" s="19">
        <f t="shared" si="1"/>
        <v>0</v>
      </c>
      <c r="Q84" s="12"/>
      <c r="R84" s="12"/>
      <c r="S84" s="12"/>
    </row>
    <row r="85">
      <c r="K85" s="13">
        <v>46133.0</v>
      </c>
      <c r="L85" s="12"/>
      <c r="M85" s="21" t="s">
        <v>811</v>
      </c>
      <c r="N85" s="21"/>
      <c r="O85" s="19"/>
      <c r="P85" s="19">
        <f t="shared" si="1"/>
        <v>0</v>
      </c>
      <c r="Q85" s="12"/>
      <c r="R85" s="12"/>
      <c r="S85" s="12"/>
    </row>
    <row r="86">
      <c r="K86" s="13">
        <v>46133.0</v>
      </c>
      <c r="L86" s="12"/>
      <c r="M86" s="21" t="s">
        <v>452</v>
      </c>
      <c r="N86" s="21"/>
      <c r="O86" s="19"/>
      <c r="P86" s="19">
        <f t="shared" si="1"/>
        <v>0</v>
      </c>
      <c r="Q86" s="12"/>
      <c r="R86" s="12"/>
      <c r="S86" s="12"/>
    </row>
    <row r="87">
      <c r="K87" s="13">
        <v>46133.0</v>
      </c>
      <c r="L87" s="12"/>
      <c r="M87" s="21" t="s">
        <v>128</v>
      </c>
      <c r="N87" s="21"/>
      <c r="O87" s="19"/>
      <c r="P87" s="19">
        <f t="shared" si="1"/>
        <v>0</v>
      </c>
      <c r="Q87" s="12"/>
      <c r="R87" s="12"/>
      <c r="S87" s="12"/>
    </row>
    <row r="88">
      <c r="K88" s="13">
        <v>46133.0</v>
      </c>
      <c r="L88" s="12"/>
      <c r="M88" s="21" t="s">
        <v>132</v>
      </c>
      <c r="N88" s="21"/>
      <c r="O88" s="19"/>
      <c r="P88" s="19">
        <f t="shared" si="1"/>
        <v>0</v>
      </c>
      <c r="Q88" s="12"/>
      <c r="R88" s="12"/>
      <c r="S88" s="12"/>
    </row>
    <row r="89">
      <c r="K89" s="13">
        <v>46133.0</v>
      </c>
      <c r="L89" s="12"/>
      <c r="M89" s="21" t="s">
        <v>812</v>
      </c>
      <c r="N89" s="21"/>
      <c r="O89" s="19"/>
      <c r="P89" s="19">
        <f t="shared" si="1"/>
        <v>0</v>
      </c>
      <c r="Q89" s="12"/>
      <c r="R89" s="12"/>
      <c r="S89" s="12"/>
    </row>
    <row r="90">
      <c r="K90" s="13">
        <v>46136.0</v>
      </c>
      <c r="L90" s="12"/>
      <c r="M90" s="21" t="s">
        <v>813</v>
      </c>
      <c r="N90" s="21"/>
      <c r="O90" s="19"/>
      <c r="P90" s="19">
        <f t="shared" si="1"/>
        <v>0</v>
      </c>
      <c r="Q90" s="12"/>
      <c r="R90" s="12"/>
      <c r="S90" s="12"/>
    </row>
    <row r="91">
      <c r="K91" s="13">
        <v>46136.0</v>
      </c>
      <c r="L91" s="12"/>
      <c r="M91" s="21" t="s">
        <v>281</v>
      </c>
      <c r="N91" s="21"/>
      <c r="O91" s="19"/>
      <c r="P91" s="19">
        <f t="shared" si="1"/>
        <v>0</v>
      </c>
      <c r="Q91" s="12"/>
      <c r="R91" s="12"/>
      <c r="S91" s="12"/>
    </row>
    <row r="92">
      <c r="K92" s="13">
        <v>46136.0</v>
      </c>
      <c r="L92" s="12"/>
      <c r="M92" s="21" t="s">
        <v>223</v>
      </c>
      <c r="N92" s="21"/>
      <c r="O92" s="19"/>
      <c r="P92" s="19">
        <f t="shared" si="1"/>
        <v>0</v>
      </c>
      <c r="Q92" s="12"/>
      <c r="R92" s="12"/>
      <c r="S92" s="12"/>
    </row>
    <row r="93">
      <c r="K93" s="13">
        <v>46142.0</v>
      </c>
      <c r="L93" s="12"/>
      <c r="M93" s="21" t="s">
        <v>362</v>
      </c>
      <c r="N93" s="21"/>
      <c r="O93" s="19"/>
      <c r="P93" s="19">
        <f t="shared" si="1"/>
        <v>0</v>
      </c>
      <c r="Q93" s="12"/>
      <c r="R93" s="12"/>
      <c r="S93" s="12"/>
    </row>
    <row r="94">
      <c r="K94" s="13">
        <v>46142.0</v>
      </c>
      <c r="L94" s="12"/>
      <c r="M94" s="21" t="s">
        <v>112</v>
      </c>
      <c r="N94" s="21"/>
      <c r="O94" s="19"/>
      <c r="P94" s="19">
        <f t="shared" si="1"/>
        <v>0</v>
      </c>
      <c r="Q94" s="12"/>
      <c r="R94" s="12"/>
      <c r="S94" s="12"/>
    </row>
    <row r="95">
      <c r="K95" s="13">
        <v>46142.0</v>
      </c>
      <c r="L95" s="12"/>
      <c r="M95" s="21" t="s">
        <v>814</v>
      </c>
      <c r="N95" s="21"/>
      <c r="O95" s="19"/>
      <c r="P95" s="19">
        <f t="shared" si="1"/>
        <v>0</v>
      </c>
      <c r="Q95" s="12"/>
      <c r="R95" s="12"/>
      <c r="S95" s="12"/>
    </row>
    <row r="96">
      <c r="K96" s="13">
        <v>46142.0</v>
      </c>
      <c r="L96" s="12"/>
      <c r="M96" s="21" t="s">
        <v>132</v>
      </c>
      <c r="N96" s="21"/>
      <c r="O96" s="19"/>
      <c r="P96" s="19">
        <f t="shared" si="1"/>
        <v>0</v>
      </c>
      <c r="Q96" s="12"/>
      <c r="R96" s="12"/>
      <c r="S96" s="12"/>
    </row>
    <row r="97">
      <c r="K97" s="13">
        <v>46142.0</v>
      </c>
      <c r="L97" s="12"/>
      <c r="M97" s="21" t="s">
        <v>245</v>
      </c>
      <c r="N97" s="21"/>
      <c r="O97" s="19"/>
      <c r="P97" s="19">
        <v>4046.01</v>
      </c>
      <c r="Q97" s="12"/>
      <c r="R97" s="12"/>
      <c r="S97" s="12"/>
    </row>
    <row r="98">
      <c r="K98" s="13">
        <v>46146.0</v>
      </c>
      <c r="L98" s="12"/>
      <c r="M98" s="21" t="s">
        <v>387</v>
      </c>
      <c r="N98" s="21"/>
      <c r="O98" s="19">
        <v>314.0</v>
      </c>
      <c r="P98" s="19">
        <f t="shared" ref="P98:P225" si="2">P97+N98-O98</f>
        <v>3732.01</v>
      </c>
      <c r="Q98" s="12"/>
      <c r="R98" s="12"/>
      <c r="S98" s="12"/>
    </row>
    <row r="99">
      <c r="K99" s="13">
        <v>46146.0</v>
      </c>
      <c r="L99" s="12"/>
      <c r="M99" s="21" t="s">
        <v>367</v>
      </c>
      <c r="N99" s="12"/>
      <c r="O99" s="19">
        <v>85.0</v>
      </c>
      <c r="P99" s="19">
        <f t="shared" si="2"/>
        <v>3647.01</v>
      </c>
      <c r="Q99" s="12"/>
      <c r="R99" s="12"/>
      <c r="S99" s="12"/>
    </row>
    <row r="100">
      <c r="K100" s="13">
        <v>46146.0</v>
      </c>
      <c r="L100" s="12"/>
      <c r="M100" s="21" t="s">
        <v>271</v>
      </c>
      <c r="N100" s="12"/>
      <c r="O100" s="19">
        <v>229.0</v>
      </c>
      <c r="P100" s="19">
        <f t="shared" si="2"/>
        <v>3418.01</v>
      </c>
      <c r="Q100" s="12"/>
      <c r="R100" s="12"/>
      <c r="S100" s="12"/>
    </row>
    <row r="101">
      <c r="K101" s="13">
        <v>46147.0</v>
      </c>
      <c r="L101" s="12"/>
      <c r="M101" s="21" t="s">
        <v>387</v>
      </c>
      <c r="N101" s="12"/>
      <c r="O101" s="19">
        <v>314.0</v>
      </c>
      <c r="P101" s="19">
        <f t="shared" si="2"/>
        <v>3104.01</v>
      </c>
      <c r="Q101" s="12"/>
      <c r="R101" s="12"/>
      <c r="S101" s="12"/>
    </row>
    <row r="102">
      <c r="K102" s="13">
        <v>46147.0</v>
      </c>
      <c r="L102" s="12"/>
      <c r="M102" s="21" t="s">
        <v>117</v>
      </c>
      <c r="N102" s="12"/>
      <c r="O102" s="19">
        <v>85.0</v>
      </c>
      <c r="P102" s="19">
        <f t="shared" si="2"/>
        <v>3019.01</v>
      </c>
      <c r="Q102" s="12"/>
      <c r="R102" s="12"/>
      <c r="S102" s="12"/>
    </row>
    <row r="103">
      <c r="K103" s="13">
        <v>46147.0</v>
      </c>
      <c r="L103" s="12"/>
      <c r="M103" s="21" t="s">
        <v>245</v>
      </c>
      <c r="N103" s="12"/>
      <c r="O103" s="19">
        <v>229.0</v>
      </c>
      <c r="P103" s="19">
        <f t="shared" si="2"/>
        <v>2790.01</v>
      </c>
      <c r="Q103" s="12"/>
      <c r="R103" s="12"/>
      <c r="S103" s="12"/>
    </row>
    <row r="104">
      <c r="K104" s="13">
        <v>46148.0</v>
      </c>
      <c r="L104" s="12"/>
      <c r="M104" s="21" t="s">
        <v>208</v>
      </c>
      <c r="N104" s="12"/>
      <c r="O104" s="19">
        <v>126.0</v>
      </c>
      <c r="P104" s="19">
        <f t="shared" si="2"/>
        <v>2664.01</v>
      </c>
      <c r="Q104" s="12"/>
      <c r="R104" s="12"/>
      <c r="S104" s="12"/>
    </row>
    <row r="105">
      <c r="K105" s="13">
        <v>46148.0</v>
      </c>
      <c r="L105" s="12"/>
      <c r="M105" s="21" t="s">
        <v>808</v>
      </c>
      <c r="N105" s="12"/>
      <c r="O105" s="19">
        <v>126.0</v>
      </c>
      <c r="P105" s="19">
        <f t="shared" si="2"/>
        <v>2538.01</v>
      </c>
      <c r="Q105" s="12"/>
      <c r="R105" s="12"/>
      <c r="S105" s="12"/>
    </row>
    <row r="106">
      <c r="K106" s="13">
        <v>46149.0</v>
      </c>
      <c r="L106" s="12"/>
      <c r="M106" s="21" t="s">
        <v>282</v>
      </c>
      <c r="N106" s="12"/>
      <c r="O106" s="19">
        <v>314.0</v>
      </c>
      <c r="P106" s="19">
        <f t="shared" si="2"/>
        <v>2224.01</v>
      </c>
      <c r="Q106" s="12"/>
      <c r="R106" s="12"/>
      <c r="S106" s="12"/>
    </row>
    <row r="107">
      <c r="K107" s="13">
        <v>46149.0</v>
      </c>
      <c r="L107" s="12"/>
      <c r="M107" s="21" t="s">
        <v>91</v>
      </c>
      <c r="N107" s="12"/>
      <c r="O107" s="19">
        <v>85.0</v>
      </c>
      <c r="P107" s="19">
        <f t="shared" si="2"/>
        <v>2139.01</v>
      </c>
      <c r="Q107" s="12"/>
      <c r="R107" s="12"/>
      <c r="S107" s="12"/>
    </row>
    <row r="108">
      <c r="K108" s="13">
        <v>46149.0</v>
      </c>
      <c r="L108" s="12"/>
      <c r="M108" s="21" t="s">
        <v>245</v>
      </c>
      <c r="N108" s="12"/>
      <c r="O108" s="19">
        <v>229.0</v>
      </c>
      <c r="P108" s="19">
        <f t="shared" si="2"/>
        <v>1910.01</v>
      </c>
      <c r="Q108" s="12"/>
      <c r="R108" s="12"/>
      <c r="S108" s="12"/>
    </row>
    <row r="109">
      <c r="K109" s="13">
        <v>46149.0</v>
      </c>
      <c r="L109" s="12"/>
      <c r="M109" s="21" t="s">
        <v>136</v>
      </c>
      <c r="N109" s="12"/>
      <c r="O109" s="19">
        <v>85.0</v>
      </c>
      <c r="P109" s="19">
        <f t="shared" si="2"/>
        <v>1825.01</v>
      </c>
      <c r="Q109" s="12"/>
      <c r="R109" s="12"/>
      <c r="S109" s="12"/>
    </row>
    <row r="110">
      <c r="K110" s="13">
        <v>46153.0</v>
      </c>
      <c r="L110" s="12"/>
      <c r="M110" s="21" t="s">
        <v>223</v>
      </c>
      <c r="N110" s="12"/>
      <c r="O110" s="19">
        <v>39.0</v>
      </c>
      <c r="P110" s="19">
        <f t="shared" si="2"/>
        <v>1786.01</v>
      </c>
      <c r="Q110" s="12"/>
      <c r="R110" s="12"/>
      <c r="S110" s="12"/>
    </row>
    <row r="111">
      <c r="K111" s="13">
        <v>46156.0</v>
      </c>
      <c r="L111" s="12"/>
      <c r="M111" s="21" t="s">
        <v>216</v>
      </c>
      <c r="N111" s="12"/>
      <c r="O111" s="19">
        <v>209.0</v>
      </c>
      <c r="P111" s="19">
        <f t="shared" si="2"/>
        <v>1577.01</v>
      </c>
      <c r="Q111" s="12"/>
      <c r="R111" s="12"/>
      <c r="S111" s="12"/>
    </row>
    <row r="112">
      <c r="K112" s="13">
        <v>46156.0</v>
      </c>
      <c r="L112" s="12"/>
      <c r="M112" s="21" t="s">
        <v>138</v>
      </c>
      <c r="N112" s="12"/>
      <c r="O112" s="19">
        <v>218.0</v>
      </c>
      <c r="P112" s="19">
        <f t="shared" si="2"/>
        <v>1359.01</v>
      </c>
      <c r="Q112" s="12"/>
      <c r="R112" s="12"/>
      <c r="S112" s="12"/>
    </row>
    <row r="113">
      <c r="K113" s="13">
        <v>46160.0</v>
      </c>
      <c r="L113" s="12"/>
      <c r="M113" s="21" t="s">
        <v>55</v>
      </c>
      <c r="N113" s="12"/>
      <c r="O113" s="19">
        <v>314.0</v>
      </c>
      <c r="P113" s="19">
        <f t="shared" si="2"/>
        <v>1045.01</v>
      </c>
      <c r="Q113" s="12"/>
      <c r="R113" s="12"/>
      <c r="S113" s="12"/>
    </row>
    <row r="114">
      <c r="K114" s="13">
        <v>46160.0</v>
      </c>
      <c r="L114" s="12"/>
      <c r="M114" s="21" t="s">
        <v>112</v>
      </c>
      <c r="N114" s="12"/>
      <c r="O114" s="19">
        <v>129.0</v>
      </c>
      <c r="P114" s="19">
        <f t="shared" si="2"/>
        <v>916.01</v>
      </c>
      <c r="Q114" s="12"/>
      <c r="R114" s="12"/>
      <c r="S114" s="12"/>
    </row>
    <row r="115">
      <c r="K115" s="13">
        <v>46160.0</v>
      </c>
      <c r="L115" s="12"/>
      <c r="M115" s="21" t="s">
        <v>128</v>
      </c>
      <c r="N115" s="12"/>
      <c r="O115" s="19">
        <v>129.0</v>
      </c>
      <c r="P115" s="19">
        <f t="shared" si="2"/>
        <v>787.01</v>
      </c>
      <c r="Q115" s="12"/>
      <c r="R115" s="12"/>
      <c r="S115" s="12"/>
    </row>
    <row r="116">
      <c r="K116" s="13">
        <v>46160.0</v>
      </c>
      <c r="L116" s="12"/>
      <c r="M116" s="21" t="s">
        <v>816</v>
      </c>
      <c r="N116" s="12"/>
      <c r="O116" s="19">
        <v>85.0</v>
      </c>
      <c r="P116" s="19">
        <f t="shared" si="2"/>
        <v>702.01</v>
      </c>
      <c r="Q116" s="12"/>
      <c r="R116" s="12"/>
      <c r="S116" s="12"/>
    </row>
    <row r="117">
      <c r="K117" s="13">
        <v>46160.0</v>
      </c>
      <c r="L117" s="12"/>
      <c r="M117" s="21" t="s">
        <v>119</v>
      </c>
      <c r="N117" s="12"/>
      <c r="O117" s="19">
        <v>229.0</v>
      </c>
      <c r="P117" s="19">
        <f t="shared" si="2"/>
        <v>473.01</v>
      </c>
      <c r="Q117" s="12"/>
      <c r="R117" s="12"/>
      <c r="S117" s="12"/>
    </row>
    <row r="118">
      <c r="K118" s="13">
        <v>46162.0</v>
      </c>
      <c r="L118" s="12"/>
      <c r="M118" s="21" t="s">
        <v>189</v>
      </c>
      <c r="N118" s="12"/>
      <c r="O118" s="19">
        <v>150.0</v>
      </c>
      <c r="P118" s="19">
        <f t="shared" si="2"/>
        <v>323.01</v>
      </c>
      <c r="Q118" s="12"/>
      <c r="R118" s="12"/>
      <c r="S118" s="12"/>
    </row>
    <row r="119">
      <c r="K119" s="13">
        <v>46162.0</v>
      </c>
      <c r="L119" s="12"/>
      <c r="M119" s="21" t="s">
        <v>271</v>
      </c>
      <c r="N119" s="12"/>
      <c r="O119" s="19">
        <v>150.0</v>
      </c>
      <c r="P119" s="19">
        <f t="shared" si="2"/>
        <v>173.01</v>
      </c>
      <c r="Q119" s="12"/>
      <c r="R119" s="12"/>
      <c r="S119" s="12"/>
    </row>
    <row r="120">
      <c r="K120" s="13">
        <v>46167.0</v>
      </c>
      <c r="L120" s="12"/>
      <c r="M120" s="21" t="s">
        <v>47</v>
      </c>
      <c r="N120" s="21">
        <v>10000.0</v>
      </c>
      <c r="O120" s="19"/>
      <c r="P120" s="19">
        <f t="shared" si="2"/>
        <v>10173.01</v>
      </c>
      <c r="Q120" s="12"/>
      <c r="R120" s="12"/>
      <c r="S120" s="12"/>
    </row>
    <row r="121">
      <c r="K121" s="13">
        <v>46174.0</v>
      </c>
      <c r="L121" s="12"/>
      <c r="M121" s="21" t="s">
        <v>442</v>
      </c>
      <c r="N121" s="12"/>
      <c r="O121" s="19">
        <v>316.0</v>
      </c>
      <c r="P121" s="19">
        <f t="shared" si="2"/>
        <v>9857.01</v>
      </c>
      <c r="Q121" s="12"/>
      <c r="R121" s="12"/>
      <c r="S121" s="12"/>
    </row>
    <row r="122">
      <c r="K122" s="13">
        <v>46174.0</v>
      </c>
      <c r="L122" s="12"/>
      <c r="M122" s="21" t="s">
        <v>826</v>
      </c>
      <c r="N122" s="12"/>
      <c r="O122" s="19">
        <v>311.0</v>
      </c>
      <c r="P122" s="19">
        <f t="shared" si="2"/>
        <v>9546.01</v>
      </c>
      <c r="Q122" s="12"/>
      <c r="R122" s="12"/>
      <c r="S122" s="12"/>
    </row>
    <row r="123">
      <c r="K123" s="13">
        <v>46176.0</v>
      </c>
      <c r="L123" s="12"/>
      <c r="M123" s="21" t="s">
        <v>828</v>
      </c>
      <c r="N123" s="12"/>
      <c r="O123" s="19">
        <v>311.0</v>
      </c>
      <c r="P123" s="19">
        <f t="shared" si="2"/>
        <v>9235.01</v>
      </c>
      <c r="Q123" s="12"/>
      <c r="R123" s="12"/>
      <c r="S123" s="12"/>
    </row>
    <row r="124">
      <c r="K124" s="13">
        <v>46176.0</v>
      </c>
      <c r="L124" s="12"/>
      <c r="M124" s="21" t="s">
        <v>68</v>
      </c>
      <c r="N124" s="12"/>
      <c r="O124" s="19">
        <v>355.0</v>
      </c>
      <c r="P124" s="19">
        <f t="shared" si="2"/>
        <v>8880.01</v>
      </c>
      <c r="Q124" s="12"/>
      <c r="R124" s="12"/>
      <c r="S124" s="12"/>
    </row>
    <row r="125">
      <c r="K125" s="13">
        <v>46176.0</v>
      </c>
      <c r="L125" s="12"/>
      <c r="M125" s="21" t="s">
        <v>281</v>
      </c>
      <c r="N125" s="12"/>
      <c r="O125" s="19">
        <v>85.0</v>
      </c>
      <c r="P125" s="19">
        <f t="shared" si="2"/>
        <v>8795.01</v>
      </c>
      <c r="Q125" s="12"/>
      <c r="R125" s="12"/>
      <c r="S125" s="12"/>
    </row>
    <row r="126">
      <c r="K126" s="13">
        <v>46182.0</v>
      </c>
      <c r="L126" s="12"/>
      <c r="M126" s="21" t="s">
        <v>189</v>
      </c>
      <c r="N126" s="12"/>
      <c r="O126" s="19">
        <v>150.0</v>
      </c>
      <c r="P126" s="19">
        <f t="shared" si="2"/>
        <v>8645.01</v>
      </c>
      <c r="Q126" s="12"/>
      <c r="R126" s="12"/>
      <c r="S126" s="12"/>
    </row>
    <row r="127">
      <c r="K127" s="13">
        <v>46182.0</v>
      </c>
      <c r="L127" s="12"/>
      <c r="M127" s="21" t="s">
        <v>271</v>
      </c>
      <c r="N127" s="12"/>
      <c r="O127" s="19">
        <v>150.0</v>
      </c>
      <c r="P127" s="19">
        <f t="shared" si="2"/>
        <v>8495.01</v>
      </c>
      <c r="Q127" s="12"/>
      <c r="R127" s="12"/>
      <c r="S127" s="12"/>
    </row>
    <row r="128">
      <c r="K128" s="13">
        <v>46183.0</v>
      </c>
      <c r="L128" s="12"/>
      <c r="M128" s="21" t="s">
        <v>258</v>
      </c>
      <c r="N128" s="12"/>
      <c r="O128" s="19">
        <v>126.0</v>
      </c>
      <c r="P128" s="19">
        <f t="shared" si="2"/>
        <v>8369.01</v>
      </c>
      <c r="Q128" s="12"/>
      <c r="R128" s="12"/>
      <c r="S128" s="12"/>
    </row>
    <row r="129">
      <c r="K129" s="13">
        <v>46183.0</v>
      </c>
      <c r="L129" s="12"/>
      <c r="M129" s="21" t="s">
        <v>326</v>
      </c>
      <c r="N129" s="12"/>
      <c r="O129" s="19">
        <v>126.0</v>
      </c>
      <c r="P129" s="19">
        <f t="shared" si="2"/>
        <v>8243.01</v>
      </c>
      <c r="Q129" s="12"/>
      <c r="R129" s="12"/>
      <c r="S129" s="12"/>
    </row>
    <row r="130">
      <c r="K130" s="13">
        <v>46184.0</v>
      </c>
      <c r="L130" s="12"/>
      <c r="M130" s="21" t="s">
        <v>249</v>
      </c>
      <c r="N130" s="12"/>
      <c r="O130" s="19">
        <v>284.0</v>
      </c>
      <c r="P130" s="19">
        <f t="shared" si="2"/>
        <v>7959.01</v>
      </c>
      <c r="Q130" s="12"/>
      <c r="R130" s="12"/>
      <c r="S130" s="12"/>
    </row>
    <row r="131">
      <c r="K131" s="13">
        <v>46184.0</v>
      </c>
      <c r="L131" s="12"/>
      <c r="M131" s="21" t="s">
        <v>251</v>
      </c>
      <c r="N131" s="12"/>
      <c r="O131" s="19">
        <v>284.0</v>
      </c>
      <c r="P131" s="19">
        <f t="shared" si="2"/>
        <v>7675.01</v>
      </c>
      <c r="Q131" s="12"/>
      <c r="R131" s="12"/>
      <c r="S131" s="12"/>
    </row>
    <row r="132">
      <c r="K132" s="13">
        <v>46190.0</v>
      </c>
      <c r="L132" s="12"/>
      <c r="M132" s="21" t="s">
        <v>387</v>
      </c>
      <c r="N132" s="12"/>
      <c r="O132" s="19">
        <v>314.0</v>
      </c>
      <c r="P132" s="19">
        <f t="shared" si="2"/>
        <v>7361.01</v>
      </c>
      <c r="Q132" s="12"/>
      <c r="R132" s="12"/>
      <c r="S132" s="12"/>
    </row>
    <row r="133">
      <c r="K133" s="13">
        <v>46190.0</v>
      </c>
      <c r="L133" s="12"/>
      <c r="M133" s="21" t="s">
        <v>91</v>
      </c>
      <c r="N133" s="12"/>
      <c r="O133" s="19">
        <v>85.0</v>
      </c>
      <c r="P133" s="19">
        <f t="shared" si="2"/>
        <v>7276.01</v>
      </c>
      <c r="Q133" s="12"/>
      <c r="R133" s="12"/>
      <c r="S133" s="12"/>
    </row>
    <row r="134">
      <c r="K134" s="13">
        <v>46190.0</v>
      </c>
      <c r="L134" s="12"/>
      <c r="M134" s="21" t="s">
        <v>119</v>
      </c>
      <c r="N134" s="12"/>
      <c r="O134" s="19">
        <v>229.0</v>
      </c>
      <c r="P134" s="19">
        <f t="shared" si="2"/>
        <v>7047.01</v>
      </c>
      <c r="Q134" s="12"/>
      <c r="R134" s="12"/>
      <c r="S134" s="12"/>
    </row>
    <row r="135">
      <c r="K135" s="13">
        <v>46195.0</v>
      </c>
      <c r="L135" s="12"/>
      <c r="M135" s="21" t="s">
        <v>848</v>
      </c>
      <c r="N135" s="12"/>
      <c r="O135" s="19">
        <v>314.0</v>
      </c>
      <c r="P135" s="19">
        <f t="shared" si="2"/>
        <v>6733.01</v>
      </c>
      <c r="Q135" s="12"/>
      <c r="R135" s="12"/>
      <c r="S135" s="12"/>
    </row>
    <row r="136">
      <c r="K136" s="13">
        <v>46195.0</v>
      </c>
      <c r="L136" s="12"/>
      <c r="M136" s="21" t="s">
        <v>91</v>
      </c>
      <c r="N136" s="12"/>
      <c r="O136" s="19">
        <v>85.0</v>
      </c>
      <c r="P136" s="19">
        <f t="shared" si="2"/>
        <v>6648.01</v>
      </c>
      <c r="Q136" s="12"/>
      <c r="R136" s="12"/>
      <c r="S136" s="12"/>
    </row>
    <row r="137">
      <c r="K137" s="13">
        <v>46195.0</v>
      </c>
      <c r="L137" s="12"/>
      <c r="M137" s="21" t="s">
        <v>138</v>
      </c>
      <c r="N137" s="12"/>
      <c r="O137" s="19">
        <v>229.0</v>
      </c>
      <c r="P137" s="19">
        <f t="shared" si="2"/>
        <v>6419.01</v>
      </c>
      <c r="Q137" s="12"/>
      <c r="R137" s="12"/>
      <c r="S137" s="12"/>
    </row>
    <row r="138">
      <c r="K138" s="13">
        <v>46197.0</v>
      </c>
      <c r="L138" s="12"/>
      <c r="M138" s="21" t="s">
        <v>258</v>
      </c>
      <c r="N138" s="12"/>
      <c r="O138" s="19">
        <v>126.0</v>
      </c>
      <c r="P138" s="19">
        <f t="shared" si="2"/>
        <v>6293.01</v>
      </c>
      <c r="Q138" s="12"/>
      <c r="R138" s="12"/>
      <c r="S138" s="12"/>
    </row>
    <row r="139">
      <c r="K139" s="13">
        <v>46210.0</v>
      </c>
      <c r="L139" s="12"/>
      <c r="M139" s="21" t="s">
        <v>442</v>
      </c>
      <c r="N139" s="12"/>
      <c r="O139" s="19">
        <v>355.0</v>
      </c>
      <c r="P139" s="19">
        <f t="shared" si="2"/>
        <v>5938.01</v>
      </c>
      <c r="Q139" s="12"/>
      <c r="R139" s="12"/>
      <c r="S139" s="12"/>
    </row>
    <row r="140">
      <c r="K140" s="13">
        <v>46210.0</v>
      </c>
      <c r="L140" s="12"/>
      <c r="M140" s="21" t="s">
        <v>457</v>
      </c>
      <c r="N140" s="12"/>
      <c r="O140" s="19">
        <v>316.0</v>
      </c>
      <c r="P140" s="19">
        <f t="shared" si="2"/>
        <v>5622.01</v>
      </c>
      <c r="Q140" s="12"/>
      <c r="R140" s="12"/>
      <c r="S140" s="12"/>
    </row>
    <row r="141">
      <c r="K141" s="13">
        <v>46216.0</v>
      </c>
      <c r="L141" s="12"/>
      <c r="M141" s="21" t="s">
        <v>123</v>
      </c>
      <c r="N141" s="12"/>
      <c r="O141" s="19">
        <v>314.0</v>
      </c>
      <c r="P141" s="19">
        <f t="shared" si="2"/>
        <v>5308.01</v>
      </c>
      <c r="Q141" s="12"/>
      <c r="R141" s="12"/>
      <c r="S141" s="12"/>
    </row>
    <row r="142">
      <c r="K142" s="13">
        <v>46216.0</v>
      </c>
      <c r="L142" s="12"/>
      <c r="M142" s="21" t="s">
        <v>367</v>
      </c>
      <c r="N142" s="12"/>
      <c r="O142" s="19">
        <v>85.0</v>
      </c>
      <c r="P142" s="19">
        <f t="shared" si="2"/>
        <v>5223.01</v>
      </c>
      <c r="Q142" s="12"/>
      <c r="R142" s="12"/>
      <c r="S142" s="12"/>
    </row>
    <row r="143">
      <c r="K143" s="13">
        <v>46216.0</v>
      </c>
      <c r="L143" s="12"/>
      <c r="M143" s="21" t="s">
        <v>271</v>
      </c>
      <c r="N143" s="12"/>
      <c r="O143" s="19">
        <v>229.0</v>
      </c>
      <c r="P143" s="19">
        <f t="shared" si="2"/>
        <v>4994.01</v>
      </c>
      <c r="Q143" s="12"/>
      <c r="R143" s="12"/>
      <c r="S143" s="12"/>
    </row>
    <row r="144">
      <c r="K144" s="13">
        <v>46217.0</v>
      </c>
      <c r="L144" s="12"/>
      <c r="M144" s="21" t="s">
        <v>362</v>
      </c>
      <c r="N144" s="12"/>
      <c r="O144" s="19">
        <v>314.0</v>
      </c>
      <c r="P144" s="19">
        <f t="shared" si="2"/>
        <v>4680.01</v>
      </c>
      <c r="Q144" s="12"/>
      <c r="R144" s="12"/>
      <c r="S144" s="12"/>
    </row>
    <row r="145">
      <c r="K145" s="13">
        <v>46217.0</v>
      </c>
      <c r="L145" s="12"/>
      <c r="M145" s="21" t="s">
        <v>91</v>
      </c>
      <c r="N145" s="12"/>
      <c r="O145" s="19">
        <v>85.0</v>
      </c>
      <c r="P145" s="19">
        <f t="shared" si="2"/>
        <v>4595.01</v>
      </c>
      <c r="Q145" s="12"/>
      <c r="R145" s="12"/>
      <c r="S145" s="12"/>
    </row>
    <row r="146">
      <c r="K146" s="13">
        <v>46217.0</v>
      </c>
      <c r="L146" s="12"/>
      <c r="M146" s="21" t="s">
        <v>865</v>
      </c>
      <c r="N146" s="12"/>
      <c r="O146" s="19">
        <v>229.0</v>
      </c>
      <c r="P146" s="19">
        <f t="shared" si="2"/>
        <v>4366.01</v>
      </c>
      <c r="Q146" s="12"/>
      <c r="R146" s="12"/>
      <c r="S146" s="12"/>
    </row>
    <row r="147">
      <c r="K147" s="13">
        <v>46219.0</v>
      </c>
      <c r="L147" s="12"/>
      <c r="M147" s="21" t="s">
        <v>174</v>
      </c>
      <c r="N147" s="12"/>
      <c r="O147" s="19">
        <v>314.0</v>
      </c>
      <c r="P147" s="19">
        <f t="shared" si="2"/>
        <v>4052.01</v>
      </c>
      <c r="Q147" s="12"/>
      <c r="R147" s="12"/>
      <c r="S147" s="12"/>
    </row>
    <row r="148">
      <c r="K148" s="13">
        <v>46219.0</v>
      </c>
      <c r="L148" s="12"/>
      <c r="M148" s="21" t="s">
        <v>367</v>
      </c>
      <c r="N148" s="12"/>
      <c r="O148" s="19">
        <v>85.0</v>
      </c>
      <c r="P148" s="19">
        <f t="shared" si="2"/>
        <v>3967.01</v>
      </c>
      <c r="Q148" s="12"/>
      <c r="R148" s="12"/>
      <c r="S148" s="12"/>
    </row>
    <row r="149">
      <c r="K149" s="13">
        <v>46219.0</v>
      </c>
      <c r="L149" s="12"/>
      <c r="M149" s="21" t="s">
        <v>865</v>
      </c>
      <c r="N149" s="12"/>
      <c r="O149" s="19">
        <v>229.0</v>
      </c>
      <c r="P149" s="19">
        <f t="shared" si="2"/>
        <v>3738.01</v>
      </c>
      <c r="Q149" s="12"/>
      <c r="R149" s="12"/>
      <c r="S149" s="12"/>
    </row>
    <row r="150">
      <c r="K150" s="13">
        <v>46220.0</v>
      </c>
      <c r="L150" s="12"/>
      <c r="M150" s="21" t="s">
        <v>208</v>
      </c>
      <c r="N150" s="12"/>
      <c r="O150" s="19">
        <v>126.0</v>
      </c>
      <c r="P150" s="19">
        <f t="shared" si="2"/>
        <v>3612.01</v>
      </c>
      <c r="Q150" s="12"/>
      <c r="R150" s="12"/>
      <c r="S150" s="12"/>
    </row>
    <row r="151">
      <c r="K151" s="13">
        <v>46220.0</v>
      </c>
      <c r="L151" s="12"/>
      <c r="M151" s="21" t="s">
        <v>326</v>
      </c>
      <c r="N151" s="12"/>
      <c r="O151" s="19">
        <v>126.0</v>
      </c>
      <c r="P151" s="19">
        <f t="shared" si="2"/>
        <v>3486.01</v>
      </c>
      <c r="Q151" s="12"/>
      <c r="R151" s="12"/>
      <c r="S151" s="12"/>
    </row>
    <row r="152">
      <c r="K152" s="85">
        <v>46223.0</v>
      </c>
      <c r="L152" s="12"/>
      <c r="M152" s="21" t="s">
        <v>123</v>
      </c>
      <c r="N152" s="12"/>
      <c r="O152" s="19">
        <v>314.0</v>
      </c>
      <c r="P152" s="19">
        <f t="shared" si="2"/>
        <v>3172.01</v>
      </c>
      <c r="Q152" s="12"/>
      <c r="R152" s="12"/>
      <c r="S152" s="12"/>
    </row>
    <row r="153">
      <c r="K153" s="13">
        <v>46223.0</v>
      </c>
      <c r="L153" s="12"/>
      <c r="M153" s="21" t="s">
        <v>112</v>
      </c>
      <c r="N153" s="12"/>
      <c r="O153" s="19">
        <v>129.0</v>
      </c>
      <c r="P153" s="19">
        <f t="shared" si="2"/>
        <v>3043.01</v>
      </c>
      <c r="Q153" s="12"/>
      <c r="R153" s="12"/>
      <c r="S153" s="12"/>
    </row>
    <row r="154">
      <c r="K154" s="13">
        <v>46223.0</v>
      </c>
      <c r="L154" s="12"/>
      <c r="M154" s="21" t="s">
        <v>480</v>
      </c>
      <c r="N154" s="12"/>
      <c r="O154" s="19">
        <v>129.0</v>
      </c>
      <c r="P154" s="19">
        <f t="shared" si="2"/>
        <v>2914.01</v>
      </c>
      <c r="Q154" s="12"/>
      <c r="R154" s="12"/>
      <c r="S154" s="12"/>
    </row>
    <row r="155">
      <c r="K155" s="13">
        <v>46223.0</v>
      </c>
      <c r="L155" s="12"/>
      <c r="M155" s="21" t="s">
        <v>117</v>
      </c>
      <c r="N155" s="12"/>
      <c r="O155" s="19">
        <v>85.0</v>
      </c>
      <c r="P155" s="19">
        <f t="shared" si="2"/>
        <v>2829.01</v>
      </c>
      <c r="Q155" s="12"/>
      <c r="R155" s="12"/>
      <c r="S155" s="12"/>
    </row>
    <row r="156">
      <c r="K156" s="85">
        <v>46223.0</v>
      </c>
      <c r="L156" s="12"/>
      <c r="M156" s="21" t="s">
        <v>138</v>
      </c>
      <c r="N156" s="12"/>
      <c r="O156" s="19">
        <v>229.0</v>
      </c>
      <c r="P156" s="19">
        <f t="shared" si="2"/>
        <v>2600.01</v>
      </c>
      <c r="Q156" s="12"/>
      <c r="R156" s="12"/>
      <c r="S156" s="12"/>
    </row>
    <row r="157">
      <c r="K157" s="13">
        <v>46224.0</v>
      </c>
      <c r="L157" s="12"/>
      <c r="M157" s="21" t="s">
        <v>240</v>
      </c>
      <c r="N157" s="12"/>
      <c r="O157" s="19">
        <v>284.0</v>
      </c>
      <c r="P157" s="19">
        <f t="shared" si="2"/>
        <v>2316.01</v>
      </c>
      <c r="Q157" s="12"/>
      <c r="R157" s="12"/>
      <c r="S157" s="12"/>
    </row>
    <row r="158">
      <c r="K158" s="13">
        <v>46224.0</v>
      </c>
      <c r="L158" s="12"/>
      <c r="M158" s="21" t="s">
        <v>457</v>
      </c>
      <c r="N158" s="12"/>
      <c r="O158" s="19">
        <v>86.0</v>
      </c>
      <c r="P158" s="19">
        <f t="shared" si="2"/>
        <v>2230.01</v>
      </c>
      <c r="Q158" s="12"/>
      <c r="R158" s="12"/>
      <c r="S158" s="12"/>
    </row>
    <row r="159">
      <c r="K159" s="13">
        <v>46225.0</v>
      </c>
      <c r="L159" s="12"/>
      <c r="M159" s="21" t="s">
        <v>258</v>
      </c>
      <c r="N159" s="12"/>
      <c r="O159" s="19">
        <v>126.0</v>
      </c>
      <c r="P159" s="19">
        <f t="shared" si="2"/>
        <v>2104.01</v>
      </c>
      <c r="Q159" s="12"/>
      <c r="R159" s="12"/>
      <c r="S159" s="12"/>
    </row>
    <row r="160">
      <c r="K160" s="13">
        <v>46226.0</v>
      </c>
      <c r="L160" s="12"/>
      <c r="M160" s="21" t="s">
        <v>886</v>
      </c>
      <c r="N160" s="12"/>
      <c r="O160" s="19">
        <v>113.0</v>
      </c>
      <c r="P160" s="19">
        <f t="shared" si="2"/>
        <v>1991.01</v>
      </c>
      <c r="Q160" s="12"/>
      <c r="R160" s="12"/>
      <c r="S160" s="12"/>
    </row>
    <row r="161">
      <c r="K161" s="13">
        <v>46226.0</v>
      </c>
      <c r="L161" s="12"/>
      <c r="M161" s="21" t="s">
        <v>271</v>
      </c>
      <c r="N161" s="12"/>
      <c r="O161" s="19">
        <v>49.0</v>
      </c>
      <c r="P161" s="19">
        <f t="shared" si="2"/>
        <v>1942.01</v>
      </c>
      <c r="Q161" s="12"/>
      <c r="R161" s="12"/>
      <c r="S161" s="12"/>
    </row>
    <row r="162">
      <c r="K162" s="13">
        <v>46227.0</v>
      </c>
      <c r="L162" s="12"/>
      <c r="M162" s="21" t="s">
        <v>362</v>
      </c>
      <c r="N162" s="12"/>
      <c r="O162" s="19">
        <v>314.0</v>
      </c>
      <c r="P162" s="19">
        <f t="shared" si="2"/>
        <v>1628.01</v>
      </c>
      <c r="Q162" s="12"/>
      <c r="R162" s="12"/>
      <c r="S162" s="12"/>
    </row>
    <row r="163">
      <c r="K163" s="13">
        <v>46227.0</v>
      </c>
      <c r="L163" s="12"/>
      <c r="M163" s="21" t="s">
        <v>451</v>
      </c>
      <c r="N163" s="12"/>
      <c r="O163" s="19">
        <v>129.0</v>
      </c>
      <c r="P163" s="19">
        <f t="shared" si="2"/>
        <v>1499.01</v>
      </c>
      <c r="Q163" s="12"/>
      <c r="R163" s="12"/>
      <c r="S163" s="12"/>
    </row>
    <row r="164">
      <c r="K164" s="13">
        <v>46227.0</v>
      </c>
      <c r="L164" s="12"/>
      <c r="M164" s="21" t="s">
        <v>128</v>
      </c>
      <c r="N164" s="12"/>
      <c r="O164" s="19">
        <v>129.0</v>
      </c>
      <c r="P164" s="19">
        <f t="shared" si="2"/>
        <v>1370.01</v>
      </c>
      <c r="Q164" s="12"/>
      <c r="R164" s="12"/>
      <c r="S164" s="12"/>
    </row>
    <row r="165">
      <c r="K165" s="13">
        <v>46227.0</v>
      </c>
      <c r="L165" s="12"/>
      <c r="M165" s="21" t="s">
        <v>481</v>
      </c>
      <c r="N165" s="12"/>
      <c r="O165" s="19">
        <v>85.0</v>
      </c>
      <c r="P165" s="19">
        <f t="shared" si="2"/>
        <v>1285.01</v>
      </c>
      <c r="Q165" s="12"/>
      <c r="R165" s="12"/>
      <c r="S165" s="12"/>
    </row>
    <row r="166">
      <c r="K166" s="13">
        <v>46227.0</v>
      </c>
      <c r="L166" s="12"/>
      <c r="M166" s="21" t="s">
        <v>457</v>
      </c>
      <c r="N166" s="12"/>
      <c r="O166" s="19">
        <v>268.0</v>
      </c>
      <c r="P166" s="19">
        <f t="shared" si="2"/>
        <v>1017.01</v>
      </c>
      <c r="Q166" s="12"/>
      <c r="R166" s="12"/>
      <c r="S166" s="12"/>
    </row>
    <row r="167">
      <c r="K167" s="13">
        <v>46230.0</v>
      </c>
      <c r="L167" s="12"/>
      <c r="M167" s="21" t="s">
        <v>123</v>
      </c>
      <c r="N167" s="12"/>
      <c r="O167" s="19">
        <v>314.0</v>
      </c>
      <c r="P167" s="19">
        <f t="shared" si="2"/>
        <v>703.01</v>
      </c>
      <c r="Q167" s="12"/>
      <c r="R167" s="12"/>
      <c r="S167" s="12"/>
    </row>
    <row r="168">
      <c r="K168" s="13">
        <v>46230.0</v>
      </c>
      <c r="L168" s="12"/>
      <c r="M168" s="21" t="s">
        <v>404</v>
      </c>
      <c r="N168" s="12"/>
      <c r="O168" s="19">
        <v>129.0</v>
      </c>
      <c r="P168" s="19">
        <f t="shared" si="2"/>
        <v>574.01</v>
      </c>
      <c r="Q168" s="12"/>
      <c r="R168" s="12"/>
      <c r="S168" s="12"/>
    </row>
    <row r="169">
      <c r="K169" s="13">
        <v>46230.0</v>
      </c>
      <c r="L169" s="12"/>
      <c r="M169" s="21" t="s">
        <v>132</v>
      </c>
      <c r="N169" s="12"/>
      <c r="O169" s="19">
        <v>85.0</v>
      </c>
      <c r="P169" s="19">
        <f t="shared" si="2"/>
        <v>489.01</v>
      </c>
      <c r="Q169" s="12"/>
      <c r="R169" s="12"/>
      <c r="S169" s="12"/>
    </row>
    <row r="170">
      <c r="K170" s="13">
        <v>46230.0</v>
      </c>
      <c r="L170" s="12"/>
      <c r="M170" s="21" t="s">
        <v>913</v>
      </c>
      <c r="N170" s="12"/>
      <c r="O170" s="19">
        <v>229.0</v>
      </c>
      <c r="P170" s="19">
        <f t="shared" si="2"/>
        <v>260.01</v>
      </c>
      <c r="Q170" s="12"/>
      <c r="R170" s="12"/>
      <c r="S170" s="12"/>
    </row>
    <row r="171">
      <c r="K171" s="13">
        <v>46230.0</v>
      </c>
      <c r="L171" s="12"/>
      <c r="M171" s="21" t="s">
        <v>916</v>
      </c>
      <c r="N171" s="21">
        <v>988.0</v>
      </c>
      <c r="O171" s="39"/>
      <c r="P171" s="19">
        <f t="shared" si="2"/>
        <v>1248.01</v>
      </c>
      <c r="Q171" s="12"/>
      <c r="R171" s="12"/>
      <c r="S171" s="12"/>
    </row>
    <row r="172">
      <c r="K172" s="13">
        <v>46231.0</v>
      </c>
      <c r="L172" s="12"/>
      <c r="M172" s="21" t="s">
        <v>55</v>
      </c>
      <c r="N172" s="12"/>
      <c r="O172" s="19">
        <v>314.0</v>
      </c>
      <c r="P172" s="19">
        <f t="shared" si="2"/>
        <v>934.01</v>
      </c>
      <c r="Q172" s="12"/>
      <c r="R172" s="12"/>
      <c r="S172" s="12"/>
    </row>
    <row r="173">
      <c r="K173" s="13">
        <v>46231.0</v>
      </c>
      <c r="L173" s="12"/>
      <c r="M173" s="21" t="s">
        <v>404</v>
      </c>
      <c r="N173" s="12"/>
      <c r="O173" s="19">
        <v>129.0</v>
      </c>
      <c r="P173" s="19">
        <f t="shared" si="2"/>
        <v>805.01</v>
      </c>
      <c r="Q173" s="12"/>
      <c r="R173" s="12"/>
      <c r="S173" s="12"/>
    </row>
    <row r="174">
      <c r="K174" s="13">
        <v>46231.0</v>
      </c>
      <c r="L174" s="12"/>
      <c r="M174" s="21" t="s">
        <v>925</v>
      </c>
      <c r="N174" s="12"/>
      <c r="O174" s="19">
        <v>129.0</v>
      </c>
      <c r="P174" s="19">
        <f t="shared" si="2"/>
        <v>676.01</v>
      </c>
      <c r="Q174" s="12"/>
      <c r="R174" s="12"/>
      <c r="S174" s="12"/>
    </row>
    <row r="175">
      <c r="K175" s="13">
        <v>46231.0</v>
      </c>
      <c r="L175" s="12"/>
      <c r="M175" s="21" t="s">
        <v>816</v>
      </c>
      <c r="N175" s="12"/>
      <c r="O175" s="19">
        <v>85.0</v>
      </c>
      <c r="P175" s="19">
        <f t="shared" si="2"/>
        <v>591.01</v>
      </c>
      <c r="Q175" s="12"/>
      <c r="R175" s="12"/>
      <c r="S175" s="12"/>
    </row>
    <row r="176">
      <c r="K176" s="13">
        <v>46231.0</v>
      </c>
      <c r="L176" s="12"/>
      <c r="M176" s="21" t="s">
        <v>444</v>
      </c>
      <c r="N176" s="12"/>
      <c r="O176" s="19">
        <v>79.0</v>
      </c>
      <c r="P176" s="19">
        <f t="shared" si="2"/>
        <v>512.01</v>
      </c>
      <c r="Q176" s="12"/>
      <c r="R176" s="12"/>
      <c r="S176" s="12"/>
    </row>
    <row r="177">
      <c r="K177" s="13">
        <v>46231.0</v>
      </c>
      <c r="L177" s="12"/>
      <c r="M177" s="21" t="s">
        <v>271</v>
      </c>
      <c r="N177" s="12"/>
      <c r="O177" s="19">
        <v>150.0</v>
      </c>
      <c r="P177" s="19">
        <f t="shared" si="2"/>
        <v>362.01</v>
      </c>
      <c r="Q177" s="12"/>
      <c r="R177" s="12"/>
      <c r="S177" s="12"/>
    </row>
    <row r="178">
      <c r="K178" s="13">
        <v>46232.0</v>
      </c>
      <c r="L178" s="12"/>
      <c r="M178" s="21" t="s">
        <v>258</v>
      </c>
      <c r="N178" s="12"/>
      <c r="O178" s="19">
        <v>126.0</v>
      </c>
      <c r="P178" s="19">
        <f t="shared" si="2"/>
        <v>236.01</v>
      </c>
      <c r="Q178" s="12"/>
      <c r="R178" s="12"/>
      <c r="S178" s="12"/>
    </row>
    <row r="179">
      <c r="K179" s="13">
        <v>46232.0</v>
      </c>
      <c r="L179" s="12"/>
      <c r="M179" s="21" t="s">
        <v>326</v>
      </c>
      <c r="N179" s="12"/>
      <c r="O179" s="19">
        <v>126.0</v>
      </c>
      <c r="P179" s="19">
        <f t="shared" si="2"/>
        <v>110.01</v>
      </c>
      <c r="Q179" s="12"/>
      <c r="R179" s="12"/>
      <c r="S179" s="12"/>
    </row>
    <row r="180">
      <c r="K180" s="15"/>
      <c r="L180" s="12"/>
      <c r="M180" s="21" t="s">
        <v>934</v>
      </c>
      <c r="N180" s="21">
        <v>10000.0</v>
      </c>
      <c r="O180" s="39"/>
      <c r="P180" s="19">
        <f t="shared" si="2"/>
        <v>10110.01</v>
      </c>
      <c r="Q180" s="12"/>
      <c r="R180" s="12"/>
      <c r="S180" s="12"/>
    </row>
    <row r="181">
      <c r="K181" s="13">
        <v>46237.0</v>
      </c>
      <c r="L181" s="12"/>
      <c r="M181" s="21" t="s">
        <v>362</v>
      </c>
      <c r="N181" s="12"/>
      <c r="O181" s="19">
        <v>314.0</v>
      </c>
      <c r="P181" s="19">
        <f t="shared" si="2"/>
        <v>9796.01</v>
      </c>
      <c r="Q181" s="12"/>
      <c r="R181" s="12"/>
      <c r="S181" s="12"/>
    </row>
    <row r="182">
      <c r="K182" s="13">
        <v>46237.0</v>
      </c>
      <c r="L182" s="12"/>
      <c r="M182" s="21" t="s">
        <v>451</v>
      </c>
      <c r="N182" s="12"/>
      <c r="O182" s="19">
        <v>129.0</v>
      </c>
      <c r="P182" s="19">
        <f t="shared" si="2"/>
        <v>9667.01</v>
      </c>
      <c r="Q182" s="12"/>
      <c r="R182" s="12"/>
      <c r="S182" s="12"/>
    </row>
    <row r="183">
      <c r="K183" s="13">
        <v>46237.0</v>
      </c>
      <c r="L183" s="12"/>
      <c r="M183" s="21" t="s">
        <v>407</v>
      </c>
      <c r="N183" s="12"/>
      <c r="O183" s="19">
        <v>180.0</v>
      </c>
      <c r="P183" s="19">
        <f t="shared" si="2"/>
        <v>9487.01</v>
      </c>
      <c r="Q183" s="12"/>
      <c r="R183" s="12"/>
      <c r="S183" s="12"/>
    </row>
    <row r="184">
      <c r="K184" s="13">
        <v>46237.0</v>
      </c>
      <c r="L184" s="12"/>
      <c r="M184" s="21" t="s">
        <v>938</v>
      </c>
      <c r="N184" s="12"/>
      <c r="O184" s="19">
        <v>45.0</v>
      </c>
      <c r="P184" s="19">
        <f t="shared" si="2"/>
        <v>9442.01</v>
      </c>
      <c r="Q184" s="12"/>
      <c r="R184" s="12"/>
      <c r="S184" s="12"/>
    </row>
    <row r="185">
      <c r="K185" s="13">
        <v>46237.0</v>
      </c>
      <c r="L185" s="12"/>
      <c r="M185" s="21" t="s">
        <v>480</v>
      </c>
      <c r="N185" s="12"/>
      <c r="O185" s="19">
        <v>264.0</v>
      </c>
      <c r="P185" s="19">
        <f t="shared" si="2"/>
        <v>9178.01</v>
      </c>
      <c r="Q185" s="12"/>
      <c r="R185" s="12"/>
      <c r="S185" s="12"/>
    </row>
    <row r="186">
      <c r="K186" s="13">
        <v>46237.0</v>
      </c>
      <c r="L186" s="12"/>
      <c r="M186" s="21" t="s">
        <v>132</v>
      </c>
      <c r="N186" s="12"/>
      <c r="O186" s="19">
        <v>85.0</v>
      </c>
      <c r="P186" s="19">
        <f t="shared" si="2"/>
        <v>9093.01</v>
      </c>
      <c r="Q186" s="12"/>
      <c r="R186" s="12"/>
      <c r="S186" s="12"/>
    </row>
    <row r="187">
      <c r="K187" s="13">
        <v>46237.0</v>
      </c>
      <c r="L187" s="12"/>
      <c r="M187" s="21" t="s">
        <v>138</v>
      </c>
      <c r="N187" s="12"/>
      <c r="O187" s="19">
        <v>229.0</v>
      </c>
      <c r="P187" s="19">
        <f t="shared" si="2"/>
        <v>8864.01</v>
      </c>
      <c r="Q187" s="12"/>
      <c r="R187" s="12"/>
      <c r="S187" s="12"/>
    </row>
    <row r="188">
      <c r="K188" s="13">
        <v>46239.0</v>
      </c>
      <c r="L188" s="12"/>
      <c r="M188" s="21" t="s">
        <v>208</v>
      </c>
      <c r="N188" s="12"/>
      <c r="O188" s="19">
        <v>126.0</v>
      </c>
      <c r="P188" s="19">
        <f t="shared" si="2"/>
        <v>8738.01</v>
      </c>
      <c r="Q188" s="12"/>
      <c r="R188" s="12"/>
      <c r="S188" s="12"/>
    </row>
    <row r="189">
      <c r="K189" s="13">
        <v>46239.0</v>
      </c>
      <c r="L189" s="12"/>
      <c r="M189" s="21" t="s">
        <v>326</v>
      </c>
      <c r="N189" s="12"/>
      <c r="O189" s="19">
        <v>126.0</v>
      </c>
      <c r="P189" s="19">
        <f t="shared" si="2"/>
        <v>8612.01</v>
      </c>
      <c r="Q189" s="12"/>
      <c r="R189" s="12"/>
      <c r="S189" s="12"/>
    </row>
    <row r="190">
      <c r="K190" s="13">
        <v>46245.0</v>
      </c>
      <c r="L190" s="12"/>
      <c r="M190" s="21" t="s">
        <v>387</v>
      </c>
      <c r="N190" s="12"/>
      <c r="O190" s="19">
        <v>314.0</v>
      </c>
      <c r="P190" s="19">
        <f t="shared" si="2"/>
        <v>8298.01</v>
      </c>
      <c r="Q190" s="12"/>
      <c r="R190" s="12"/>
      <c r="S190" s="12"/>
    </row>
    <row r="191">
      <c r="K191" s="13">
        <v>46245.0</v>
      </c>
      <c r="L191" s="12"/>
      <c r="M191" s="21" t="s">
        <v>91</v>
      </c>
      <c r="N191" s="12"/>
      <c r="O191" s="19">
        <v>85.0</v>
      </c>
      <c r="P191" s="19">
        <f t="shared" si="2"/>
        <v>8213.01</v>
      </c>
      <c r="Q191" s="12"/>
      <c r="R191" s="12"/>
      <c r="S191" s="12"/>
    </row>
    <row r="192">
      <c r="K192" s="13">
        <v>46245.0</v>
      </c>
      <c r="L192" s="12"/>
      <c r="M192" s="21" t="s">
        <v>251</v>
      </c>
      <c r="N192" s="12"/>
      <c r="O192" s="19">
        <v>268.0</v>
      </c>
      <c r="P192" s="19">
        <f t="shared" si="2"/>
        <v>7945.01</v>
      </c>
      <c r="Q192" s="12"/>
      <c r="R192" s="12"/>
      <c r="S192" s="12"/>
    </row>
    <row r="193">
      <c r="K193" s="13">
        <v>46246.0</v>
      </c>
      <c r="L193" s="12"/>
      <c r="M193" s="21" t="s">
        <v>362</v>
      </c>
      <c r="N193" s="12"/>
      <c r="O193" s="19">
        <v>314.0</v>
      </c>
      <c r="P193" s="19">
        <f t="shared" si="2"/>
        <v>7631.01</v>
      </c>
      <c r="Q193" s="12"/>
      <c r="R193" s="12"/>
      <c r="S193" s="12"/>
    </row>
    <row r="194">
      <c r="K194" s="13">
        <v>46246.0</v>
      </c>
      <c r="L194" s="12"/>
      <c r="M194" s="21" t="s">
        <v>367</v>
      </c>
      <c r="N194" s="12"/>
      <c r="O194" s="19">
        <v>85.0</v>
      </c>
      <c r="P194" s="19">
        <f t="shared" si="2"/>
        <v>7546.01</v>
      </c>
      <c r="Q194" s="12"/>
      <c r="R194" s="12"/>
      <c r="S194" s="12"/>
    </row>
    <row r="195">
      <c r="K195" s="13">
        <v>46246.0</v>
      </c>
      <c r="L195" s="12"/>
      <c r="M195" s="21" t="s">
        <v>223</v>
      </c>
      <c r="N195" s="12"/>
      <c r="O195" s="19">
        <v>268.0</v>
      </c>
      <c r="P195" s="19">
        <f t="shared" si="2"/>
        <v>7278.01</v>
      </c>
      <c r="Q195" s="12"/>
      <c r="R195" s="12"/>
      <c r="S195" s="12"/>
    </row>
    <row r="196">
      <c r="K196" s="13">
        <v>46248.0</v>
      </c>
      <c r="L196" s="12"/>
      <c r="M196" s="21" t="s">
        <v>387</v>
      </c>
      <c r="N196" s="12"/>
      <c r="O196" s="19">
        <v>314.0</v>
      </c>
      <c r="P196" s="19">
        <f t="shared" si="2"/>
        <v>6964.01</v>
      </c>
      <c r="Q196" s="12"/>
      <c r="R196" s="12"/>
      <c r="S196" s="12"/>
    </row>
    <row r="197">
      <c r="K197" s="13">
        <v>46248.0</v>
      </c>
      <c r="L197" s="12"/>
      <c r="M197" s="21" t="s">
        <v>961</v>
      </c>
      <c r="N197" s="12"/>
      <c r="O197" s="19">
        <v>338.0</v>
      </c>
      <c r="P197" s="19">
        <f t="shared" si="2"/>
        <v>6626.01</v>
      </c>
      <c r="Q197" s="12"/>
      <c r="R197" s="12"/>
      <c r="S197" s="12"/>
    </row>
    <row r="198">
      <c r="K198" s="13">
        <v>46251.0</v>
      </c>
      <c r="L198" s="12"/>
      <c r="M198" s="21" t="s">
        <v>964</v>
      </c>
      <c r="N198" s="12"/>
      <c r="O198" s="19">
        <v>338.0</v>
      </c>
      <c r="P198" s="19">
        <f t="shared" si="2"/>
        <v>6288.01</v>
      </c>
      <c r="Q198" s="12"/>
      <c r="R198" s="12"/>
      <c r="S198" s="12"/>
    </row>
    <row r="199">
      <c r="K199" s="13">
        <v>46251.0</v>
      </c>
      <c r="L199" s="12"/>
      <c r="M199" s="21" t="s">
        <v>393</v>
      </c>
      <c r="N199" s="12"/>
      <c r="O199" s="19">
        <v>264.0</v>
      </c>
      <c r="P199" s="19">
        <f t="shared" si="2"/>
        <v>6024.01</v>
      </c>
      <c r="Q199" s="12"/>
      <c r="R199" s="12"/>
      <c r="S199" s="12"/>
    </row>
    <row r="200">
      <c r="K200" s="13">
        <v>46251.0</v>
      </c>
      <c r="L200" s="12"/>
      <c r="M200" s="21" t="s">
        <v>132</v>
      </c>
      <c r="N200" s="12"/>
      <c r="O200" s="19">
        <v>85.0</v>
      </c>
      <c r="P200" s="19">
        <f t="shared" si="2"/>
        <v>5939.01</v>
      </c>
      <c r="Q200" s="12"/>
      <c r="R200" s="12"/>
      <c r="S200" s="12"/>
    </row>
    <row r="201">
      <c r="K201" s="13">
        <v>46251.0</v>
      </c>
      <c r="L201" s="12"/>
      <c r="M201" s="21" t="s">
        <v>119</v>
      </c>
      <c r="N201" s="12"/>
      <c r="O201" s="19">
        <v>229.0</v>
      </c>
      <c r="P201" s="19">
        <f t="shared" si="2"/>
        <v>5710.01</v>
      </c>
      <c r="Q201" s="12"/>
      <c r="R201" s="12"/>
      <c r="S201" s="12"/>
    </row>
    <row r="202">
      <c r="K202" s="13">
        <v>46261.0</v>
      </c>
      <c r="L202" s="12"/>
      <c r="M202" s="21" t="s">
        <v>255</v>
      </c>
      <c r="N202" s="12"/>
      <c r="O202" s="19">
        <v>96.0</v>
      </c>
      <c r="P202" s="19">
        <f t="shared" si="2"/>
        <v>5614.01</v>
      </c>
      <c r="Q202" s="12"/>
      <c r="R202" s="12"/>
      <c r="S202" s="12"/>
    </row>
    <row r="203">
      <c r="K203" s="13">
        <v>46278.0</v>
      </c>
      <c r="L203" s="21" t="s">
        <v>968</v>
      </c>
      <c r="M203" s="21" t="s">
        <v>189</v>
      </c>
      <c r="N203" s="12"/>
      <c r="O203" s="19">
        <v>150.0</v>
      </c>
      <c r="P203" s="19">
        <f t="shared" si="2"/>
        <v>5464.01</v>
      </c>
      <c r="Q203" s="12"/>
      <c r="R203" s="12"/>
      <c r="S203" s="12"/>
    </row>
    <row r="204">
      <c r="K204" s="13">
        <v>46278.0</v>
      </c>
      <c r="L204" s="21"/>
      <c r="M204" s="21" t="s">
        <v>913</v>
      </c>
      <c r="N204" s="12"/>
      <c r="O204" s="19">
        <v>113.0</v>
      </c>
      <c r="P204" s="19">
        <f t="shared" si="2"/>
        <v>5351.01</v>
      </c>
      <c r="Q204" s="12"/>
      <c r="R204" s="12"/>
      <c r="S204" s="12"/>
    </row>
    <row r="205">
      <c r="K205" s="13">
        <v>46279.0</v>
      </c>
      <c r="L205" s="21" t="s">
        <v>972</v>
      </c>
      <c r="M205" s="21" t="s">
        <v>277</v>
      </c>
      <c r="N205" s="12"/>
      <c r="O205" s="19">
        <v>85.0</v>
      </c>
      <c r="P205" s="19">
        <f t="shared" si="2"/>
        <v>5266.01</v>
      </c>
      <c r="Q205" s="12"/>
      <c r="R205" s="12"/>
      <c r="S205" s="12"/>
    </row>
    <row r="206">
      <c r="K206" s="13">
        <v>46279.0</v>
      </c>
      <c r="L206" s="12"/>
      <c r="M206" s="21" t="s">
        <v>281</v>
      </c>
      <c r="N206" s="12"/>
      <c r="O206" s="19">
        <v>85.0</v>
      </c>
      <c r="P206" s="19">
        <f t="shared" si="2"/>
        <v>5181.01</v>
      </c>
      <c r="Q206" s="12"/>
      <c r="R206" s="12"/>
      <c r="S206" s="12"/>
    </row>
    <row r="207">
      <c r="K207" s="13">
        <v>46280.0</v>
      </c>
      <c r="L207" s="21" t="s">
        <v>976</v>
      </c>
      <c r="M207" s="21" t="s">
        <v>174</v>
      </c>
      <c r="N207" s="12"/>
      <c r="O207" s="19">
        <v>314.0</v>
      </c>
      <c r="P207" s="19">
        <f t="shared" si="2"/>
        <v>4867.01</v>
      </c>
      <c r="Q207" s="12"/>
      <c r="R207" s="12"/>
      <c r="S207" s="12"/>
    </row>
    <row r="208">
      <c r="K208" s="13">
        <v>46280.0</v>
      </c>
      <c r="L208" s="12"/>
      <c r="M208" s="21" t="s">
        <v>238</v>
      </c>
      <c r="N208" s="12"/>
      <c r="O208" s="19">
        <v>119.0</v>
      </c>
      <c r="P208" s="19">
        <f t="shared" si="2"/>
        <v>4748.01</v>
      </c>
      <c r="Q208" s="12"/>
      <c r="R208" s="12"/>
      <c r="S208" s="12"/>
    </row>
    <row r="209">
      <c r="K209" s="13">
        <v>46280.0</v>
      </c>
      <c r="L209" s="12"/>
      <c r="M209" s="21" t="s">
        <v>117</v>
      </c>
      <c r="N209" s="12"/>
      <c r="O209" s="19">
        <v>85.0</v>
      </c>
      <c r="P209" s="19">
        <f t="shared" si="2"/>
        <v>4663.01</v>
      </c>
      <c r="Q209" s="12"/>
      <c r="R209" s="12"/>
      <c r="S209" s="12"/>
    </row>
    <row r="210">
      <c r="K210" s="13">
        <v>46280.0</v>
      </c>
      <c r="L210" s="21"/>
      <c r="M210" s="21" t="s">
        <v>138</v>
      </c>
      <c r="N210" s="12"/>
      <c r="O210" s="19">
        <v>229.0</v>
      </c>
      <c r="P210" s="19">
        <f t="shared" si="2"/>
        <v>4434.01</v>
      </c>
      <c r="Q210" s="12"/>
      <c r="R210" s="12"/>
      <c r="S210" s="12"/>
    </row>
    <row r="211">
      <c r="K211" s="13">
        <v>46281.0</v>
      </c>
      <c r="L211" s="21" t="s">
        <v>986</v>
      </c>
      <c r="M211" s="21" t="s">
        <v>189</v>
      </c>
      <c r="N211" s="12"/>
      <c r="O211" s="19">
        <v>150.0</v>
      </c>
      <c r="P211" s="19">
        <f t="shared" si="2"/>
        <v>4284.01</v>
      </c>
      <c r="Q211" s="12"/>
      <c r="R211" s="12"/>
      <c r="S211" s="12"/>
    </row>
    <row r="212">
      <c r="K212" s="13">
        <v>46281.0</v>
      </c>
      <c r="L212" s="12"/>
      <c r="M212" s="21" t="s">
        <v>989</v>
      </c>
      <c r="N212" s="12"/>
      <c r="O212" s="19">
        <v>157.0</v>
      </c>
      <c r="P212" s="19">
        <f t="shared" si="2"/>
        <v>4127.01</v>
      </c>
      <c r="Q212" s="12"/>
      <c r="R212" s="12"/>
      <c r="S212" s="12"/>
    </row>
    <row r="213">
      <c r="K213" s="13">
        <v>46281.0</v>
      </c>
      <c r="L213" s="12"/>
      <c r="M213" s="21" t="s">
        <v>117</v>
      </c>
      <c r="N213" s="12"/>
      <c r="O213" s="19">
        <v>85.0</v>
      </c>
      <c r="P213" s="19">
        <f t="shared" si="2"/>
        <v>4042.01</v>
      </c>
      <c r="Q213" s="12"/>
      <c r="R213" s="12"/>
      <c r="S213" s="12"/>
    </row>
    <row r="214">
      <c r="K214" s="13">
        <v>46281.0</v>
      </c>
      <c r="L214" s="12"/>
      <c r="M214" s="21" t="s">
        <v>993</v>
      </c>
      <c r="N214" s="12"/>
      <c r="O214" s="19">
        <v>72.0</v>
      </c>
      <c r="P214" s="19">
        <f t="shared" si="2"/>
        <v>3970.01</v>
      </c>
      <c r="Q214" s="12"/>
      <c r="R214" s="12"/>
      <c r="S214" s="12"/>
    </row>
    <row r="215">
      <c r="K215" s="13">
        <v>46281.0</v>
      </c>
      <c r="L215" s="12"/>
      <c r="M215" s="21" t="s">
        <v>119</v>
      </c>
      <c r="N215" s="12"/>
      <c r="O215" s="19">
        <v>113.0</v>
      </c>
      <c r="P215" s="19">
        <f t="shared" si="2"/>
        <v>3857.01</v>
      </c>
      <c r="Q215" s="12"/>
      <c r="R215" s="12"/>
      <c r="S215" s="12"/>
    </row>
    <row r="216">
      <c r="K216" s="13">
        <v>46286.0</v>
      </c>
      <c r="L216" s="21" t="s">
        <v>996</v>
      </c>
      <c r="M216" s="21" t="s">
        <v>387</v>
      </c>
      <c r="N216" s="12"/>
      <c r="O216" s="19">
        <v>314.0</v>
      </c>
      <c r="P216" s="19">
        <f t="shared" si="2"/>
        <v>3543.01</v>
      </c>
      <c r="Q216" s="12"/>
      <c r="R216" s="12"/>
      <c r="S216" s="12"/>
    </row>
    <row r="217">
      <c r="K217" s="13">
        <v>46286.0</v>
      </c>
      <c r="L217" s="12"/>
      <c r="M217" s="21" t="s">
        <v>117</v>
      </c>
      <c r="N217" s="12"/>
      <c r="O217" s="19">
        <v>85.0</v>
      </c>
      <c r="P217" s="19">
        <f t="shared" si="2"/>
        <v>3458.01</v>
      </c>
      <c r="Q217" s="12"/>
      <c r="R217" s="12"/>
      <c r="S217" s="12"/>
    </row>
    <row r="218">
      <c r="K218" s="13">
        <v>46286.0</v>
      </c>
      <c r="L218" s="12"/>
      <c r="M218" s="21" t="s">
        <v>138</v>
      </c>
      <c r="N218" s="12"/>
      <c r="O218" s="19">
        <v>229.0</v>
      </c>
      <c r="P218" s="19">
        <f t="shared" si="2"/>
        <v>3229.01</v>
      </c>
      <c r="Q218" s="12"/>
      <c r="R218" s="12"/>
      <c r="S218" s="12"/>
    </row>
    <row r="219">
      <c r="K219" s="13">
        <v>46288.0</v>
      </c>
      <c r="L219" s="21" t="s">
        <v>1003</v>
      </c>
      <c r="M219" s="21" t="s">
        <v>258</v>
      </c>
      <c r="N219" s="12"/>
      <c r="O219" s="19">
        <v>126.0</v>
      </c>
      <c r="P219" s="19">
        <f t="shared" si="2"/>
        <v>3103.01</v>
      </c>
      <c r="Q219" s="12"/>
      <c r="R219" s="12"/>
      <c r="S219" s="12"/>
    </row>
    <row r="220">
      <c r="K220" s="13">
        <v>46288.0</v>
      </c>
      <c r="L220" s="12"/>
      <c r="M220" s="21" t="s">
        <v>808</v>
      </c>
      <c r="N220" s="12"/>
      <c r="O220" s="19">
        <v>126.0</v>
      </c>
      <c r="P220" s="19">
        <f t="shared" si="2"/>
        <v>2977.01</v>
      </c>
      <c r="Q220" s="12"/>
      <c r="R220" s="12"/>
      <c r="S220" s="12"/>
    </row>
    <row r="221">
      <c r="K221" s="13">
        <v>46294.0</v>
      </c>
      <c r="L221" s="21" t="s">
        <v>1007</v>
      </c>
      <c r="M221" s="21" t="s">
        <v>387</v>
      </c>
      <c r="N221" s="12"/>
      <c r="O221" s="19">
        <v>314.0</v>
      </c>
      <c r="P221" s="19">
        <f t="shared" si="2"/>
        <v>2663.01</v>
      </c>
      <c r="Q221" s="12"/>
      <c r="R221" s="12"/>
      <c r="S221" s="12"/>
    </row>
    <row r="222">
      <c r="K222" s="85">
        <v>46294.0</v>
      </c>
      <c r="L222" s="12"/>
      <c r="M222" s="21" t="s">
        <v>238</v>
      </c>
      <c r="N222" s="12"/>
      <c r="O222" s="19">
        <v>119.0</v>
      </c>
      <c r="P222" s="19">
        <f t="shared" si="2"/>
        <v>2544.01</v>
      </c>
      <c r="Q222" s="12"/>
      <c r="R222" s="12"/>
      <c r="S222" s="12"/>
    </row>
    <row r="223">
      <c r="K223" s="85">
        <v>46294.0</v>
      </c>
      <c r="L223" s="12"/>
      <c r="M223" s="21" t="s">
        <v>367</v>
      </c>
      <c r="N223" s="12"/>
      <c r="O223" s="19">
        <v>85.0</v>
      </c>
      <c r="P223" s="19">
        <f t="shared" si="2"/>
        <v>2459.01</v>
      </c>
      <c r="Q223" s="12"/>
      <c r="R223" s="12"/>
      <c r="S223" s="12"/>
    </row>
    <row r="224">
      <c r="K224" s="85">
        <v>46294.0</v>
      </c>
      <c r="L224" s="12"/>
      <c r="M224" s="21" t="s">
        <v>138</v>
      </c>
      <c r="N224" s="12"/>
      <c r="O224" s="19">
        <v>229.0</v>
      </c>
      <c r="P224" s="19">
        <f t="shared" si="2"/>
        <v>2230.01</v>
      </c>
      <c r="Q224" s="12"/>
      <c r="R224" s="12"/>
      <c r="S224" s="12"/>
    </row>
    <row r="225">
      <c r="K225" s="13">
        <v>46295.0</v>
      </c>
      <c r="L225" s="21" t="s">
        <v>1008</v>
      </c>
      <c r="M225" s="21" t="s">
        <v>255</v>
      </c>
      <c r="N225" s="12"/>
      <c r="O225" s="19">
        <v>136.0</v>
      </c>
      <c r="P225" s="19">
        <f t="shared" si="2"/>
        <v>2094.01</v>
      </c>
      <c r="Q225" s="12"/>
      <c r="R225" s="12"/>
      <c r="S225" s="12"/>
    </row>
    <row r="226">
      <c r="K226" s="15"/>
      <c r="L226" s="12"/>
      <c r="M226" s="12"/>
      <c r="N226" s="12"/>
      <c r="O226" s="39"/>
      <c r="P226" s="39"/>
      <c r="Q226" s="12"/>
      <c r="R226" s="12"/>
      <c r="S226" s="12"/>
    </row>
    <row r="227">
      <c r="K227" s="13"/>
      <c r="L227" s="12"/>
      <c r="M227" s="12"/>
      <c r="N227" s="12"/>
      <c r="O227" s="39"/>
      <c r="P227" s="39"/>
      <c r="Q227" s="12"/>
      <c r="R227" s="12"/>
      <c r="S227" s="12"/>
    </row>
    <row r="228">
      <c r="K228" s="15"/>
      <c r="L228" s="12"/>
      <c r="M228" s="12"/>
      <c r="N228" s="12"/>
      <c r="O228" s="39"/>
      <c r="P228" s="39"/>
      <c r="Q228" s="12"/>
      <c r="R228" s="12"/>
      <c r="S228" s="12"/>
    </row>
    <row r="229">
      <c r="K229" s="15"/>
      <c r="L229" s="12"/>
      <c r="M229" s="12"/>
      <c r="N229" s="12"/>
      <c r="O229" s="39"/>
      <c r="P229" s="39"/>
      <c r="Q229" s="12"/>
      <c r="R229" s="12"/>
      <c r="S229" s="12"/>
    </row>
    <row r="230">
      <c r="K230" s="15"/>
      <c r="L230" s="12"/>
      <c r="M230" s="12"/>
      <c r="N230" s="12"/>
      <c r="O230" s="39"/>
      <c r="P230" s="39"/>
      <c r="Q230" s="12"/>
      <c r="R230" s="12"/>
      <c r="S230" s="12"/>
    </row>
    <row r="231">
      <c r="K231" s="15"/>
      <c r="L231" s="12"/>
      <c r="M231" s="12"/>
      <c r="N231" s="12"/>
      <c r="O231" s="39"/>
      <c r="P231" s="39"/>
      <c r="Q231" s="12"/>
      <c r="R231" s="12"/>
      <c r="S231" s="12"/>
    </row>
    <row r="232">
      <c r="K232" s="15"/>
      <c r="L232" s="12"/>
      <c r="M232" s="12"/>
      <c r="N232" s="12"/>
      <c r="O232" s="39"/>
      <c r="P232" s="39"/>
      <c r="Q232" s="12"/>
      <c r="R232" s="12"/>
      <c r="S232" s="12"/>
    </row>
    <row r="233">
      <c r="K233" s="15"/>
      <c r="L233" s="12"/>
      <c r="M233" s="12"/>
      <c r="N233" s="12"/>
      <c r="O233" s="39"/>
      <c r="P233" s="39"/>
      <c r="Q233" s="12"/>
      <c r="R233" s="12"/>
      <c r="S233" s="12"/>
    </row>
    <row r="234">
      <c r="K234" s="15"/>
      <c r="L234" s="12"/>
      <c r="M234" s="12"/>
      <c r="N234" s="12"/>
      <c r="O234" s="39"/>
      <c r="P234" s="39"/>
      <c r="Q234" s="12"/>
      <c r="R234" s="12"/>
      <c r="S234" s="12"/>
    </row>
    <row r="235">
      <c r="K235" s="15"/>
      <c r="L235" s="12"/>
      <c r="M235" s="12"/>
      <c r="N235" s="12"/>
      <c r="O235" s="39"/>
      <c r="P235" s="39"/>
      <c r="Q235" s="12"/>
      <c r="R235" s="12"/>
      <c r="S235" s="12"/>
    </row>
    <row r="236">
      <c r="K236" s="15"/>
      <c r="L236" s="12"/>
      <c r="M236" s="12"/>
      <c r="N236" s="12"/>
      <c r="O236" s="39"/>
      <c r="P236" s="39"/>
      <c r="Q236" s="12"/>
      <c r="R236" s="12"/>
      <c r="S236" s="12"/>
    </row>
    <row r="237">
      <c r="K237" s="15"/>
      <c r="L237" s="12"/>
      <c r="M237" s="12"/>
      <c r="N237" s="12"/>
      <c r="O237" s="39"/>
      <c r="P237" s="39"/>
      <c r="Q237" s="12"/>
      <c r="R237" s="12"/>
      <c r="S237" s="12"/>
    </row>
    <row r="238">
      <c r="K238" s="15"/>
      <c r="L238" s="12"/>
      <c r="M238" s="12"/>
      <c r="N238" s="12"/>
      <c r="O238" s="39"/>
      <c r="P238" s="39"/>
      <c r="Q238" s="12"/>
      <c r="R238" s="12"/>
      <c r="S238" s="12"/>
    </row>
    <row r="239">
      <c r="K239" s="15"/>
      <c r="L239" s="12"/>
      <c r="M239" s="12"/>
      <c r="N239" s="12"/>
      <c r="O239" s="39"/>
      <c r="P239" s="39"/>
      <c r="Q239" s="12"/>
      <c r="R239" s="12"/>
      <c r="S239" s="12"/>
    </row>
    <row r="240">
      <c r="K240" s="15"/>
      <c r="L240" s="12"/>
      <c r="M240" s="12"/>
      <c r="N240" s="12"/>
      <c r="O240" s="39"/>
      <c r="P240" s="39"/>
      <c r="Q240" s="12"/>
      <c r="R240" s="12"/>
      <c r="S240" s="12"/>
    </row>
    <row r="241">
      <c r="K241" s="15"/>
      <c r="L241" s="12"/>
      <c r="M241" s="12"/>
      <c r="N241" s="12"/>
      <c r="O241" s="39"/>
      <c r="P241" s="39"/>
      <c r="Q241" s="12"/>
      <c r="R241" s="12"/>
      <c r="S241" s="12"/>
    </row>
    <row r="242">
      <c r="K242" s="15"/>
      <c r="L242" s="12"/>
      <c r="M242" s="12"/>
      <c r="N242" s="12"/>
      <c r="O242" s="39"/>
      <c r="P242" s="39"/>
      <c r="Q242" s="12"/>
      <c r="R242" s="12"/>
      <c r="S242" s="12"/>
    </row>
    <row r="243">
      <c r="K243" s="15"/>
      <c r="L243" s="12"/>
      <c r="M243" s="12"/>
      <c r="N243" s="12"/>
      <c r="O243" s="39"/>
      <c r="P243" s="39"/>
      <c r="Q243" s="12"/>
      <c r="R243" s="12"/>
      <c r="S243" s="12"/>
    </row>
    <row r="244">
      <c r="K244" s="15"/>
      <c r="L244" s="12"/>
      <c r="M244" s="12"/>
      <c r="N244" s="12"/>
      <c r="O244" s="39"/>
      <c r="P244" s="39"/>
      <c r="Q244" s="12"/>
      <c r="R244" s="12"/>
      <c r="S244" s="12"/>
    </row>
    <row r="245">
      <c r="K245" s="15"/>
      <c r="L245" s="12"/>
      <c r="M245" s="12"/>
      <c r="N245" s="12"/>
      <c r="O245" s="39"/>
      <c r="P245" s="39"/>
      <c r="Q245" s="12"/>
      <c r="R245" s="12"/>
      <c r="S245" s="12"/>
    </row>
    <row r="246">
      <c r="K246" s="15"/>
      <c r="L246" s="12"/>
      <c r="M246" s="12"/>
      <c r="N246" s="12"/>
      <c r="O246" s="39"/>
      <c r="P246" s="39"/>
      <c r="Q246" s="12"/>
      <c r="R246" s="12"/>
      <c r="S246" s="12"/>
    </row>
    <row r="247">
      <c r="K247" s="15"/>
      <c r="L247" s="12"/>
      <c r="M247" s="12"/>
      <c r="N247" s="12"/>
      <c r="O247" s="39"/>
      <c r="P247" s="39"/>
      <c r="Q247" s="12"/>
      <c r="R247" s="12"/>
      <c r="S247" s="12"/>
    </row>
    <row r="248">
      <c r="K248" s="15"/>
      <c r="L248" s="12"/>
      <c r="M248" s="12"/>
      <c r="N248" s="12"/>
      <c r="O248" s="39"/>
      <c r="P248" s="39"/>
      <c r="Q248" s="12"/>
      <c r="R248" s="12"/>
      <c r="S248" s="12"/>
    </row>
    <row r="249">
      <c r="K249" s="15"/>
      <c r="L249" s="12"/>
      <c r="M249" s="12"/>
      <c r="N249" s="12"/>
      <c r="O249" s="39"/>
      <c r="P249" s="39"/>
      <c r="Q249" s="12"/>
      <c r="R249" s="12"/>
      <c r="S249" s="12"/>
    </row>
    <row r="250">
      <c r="K250" s="15"/>
      <c r="L250" s="12"/>
      <c r="M250" s="12"/>
      <c r="N250" s="12"/>
      <c r="O250" s="39"/>
      <c r="P250" s="39"/>
      <c r="Q250" s="12"/>
      <c r="R250" s="12"/>
      <c r="S250" s="12"/>
    </row>
    <row r="251">
      <c r="K251" s="15"/>
      <c r="L251" s="12"/>
      <c r="M251" s="12"/>
      <c r="N251" s="12"/>
      <c r="O251" s="39"/>
      <c r="P251" s="39"/>
      <c r="Q251" s="12"/>
      <c r="R251" s="12"/>
      <c r="S251" s="12"/>
    </row>
    <row r="252">
      <c r="K252" s="15"/>
      <c r="L252" s="12"/>
      <c r="M252" s="12"/>
      <c r="N252" s="12"/>
      <c r="O252" s="39"/>
      <c r="P252" s="39"/>
      <c r="Q252" s="12"/>
      <c r="R252" s="12"/>
      <c r="S252" s="12"/>
    </row>
    <row r="253">
      <c r="K253" s="15"/>
      <c r="L253" s="12"/>
      <c r="M253" s="12"/>
      <c r="N253" s="12"/>
      <c r="O253" s="39"/>
      <c r="P253" s="39"/>
      <c r="Q253" s="12"/>
      <c r="R253" s="12"/>
      <c r="S253" s="12"/>
    </row>
    <row r="254">
      <c r="K254" s="15"/>
      <c r="L254" s="12"/>
      <c r="M254" s="12"/>
      <c r="N254" s="12"/>
      <c r="O254" s="39"/>
      <c r="P254" s="39"/>
      <c r="Q254" s="12"/>
      <c r="R254" s="12"/>
      <c r="S254" s="12"/>
    </row>
    <row r="255">
      <c r="K255" s="15"/>
      <c r="L255" s="12"/>
      <c r="M255" s="12"/>
      <c r="N255" s="12"/>
      <c r="O255" s="39"/>
      <c r="P255" s="39"/>
      <c r="Q255" s="12"/>
      <c r="R255" s="12"/>
      <c r="S255" s="12"/>
    </row>
    <row r="256">
      <c r="K256" s="15"/>
      <c r="L256" s="12"/>
      <c r="M256" s="12"/>
      <c r="N256" s="12"/>
      <c r="O256" s="39"/>
      <c r="P256" s="39"/>
      <c r="Q256" s="12"/>
      <c r="R256" s="12"/>
      <c r="S256" s="12"/>
    </row>
    <row r="257">
      <c r="K257" s="15"/>
      <c r="L257" s="12"/>
      <c r="M257" s="12"/>
      <c r="N257" s="12"/>
      <c r="O257" s="39"/>
      <c r="P257" s="39"/>
      <c r="Q257" s="12"/>
      <c r="R257" s="12"/>
      <c r="S257" s="12"/>
    </row>
    <row r="258">
      <c r="K258" s="15"/>
      <c r="L258" s="12"/>
      <c r="M258" s="12"/>
      <c r="N258" s="12"/>
      <c r="O258" s="39"/>
      <c r="P258" s="39"/>
      <c r="Q258" s="12"/>
      <c r="R258" s="12"/>
      <c r="S258" s="12"/>
    </row>
    <row r="259">
      <c r="K259" s="15"/>
      <c r="L259" s="12"/>
      <c r="M259" s="12"/>
      <c r="N259" s="12"/>
      <c r="O259" s="39"/>
      <c r="P259" s="39"/>
      <c r="Q259" s="12"/>
      <c r="R259" s="12"/>
      <c r="S259" s="12"/>
    </row>
    <row r="260">
      <c r="K260" s="15"/>
      <c r="L260" s="12"/>
      <c r="M260" s="12"/>
      <c r="N260" s="12"/>
      <c r="O260" s="39"/>
      <c r="P260" s="39"/>
      <c r="Q260" s="12"/>
      <c r="R260" s="12"/>
      <c r="S260" s="12"/>
    </row>
    <row r="261">
      <c r="K261" s="15"/>
      <c r="L261" s="12"/>
      <c r="M261" s="12"/>
      <c r="N261" s="12"/>
      <c r="O261" s="39"/>
      <c r="P261" s="39"/>
      <c r="Q261" s="12"/>
      <c r="R261" s="12"/>
      <c r="S261" s="12"/>
    </row>
    <row r="262">
      <c r="K262" s="15"/>
      <c r="L262" s="12"/>
      <c r="M262" s="12"/>
      <c r="N262" s="12"/>
      <c r="O262" s="39"/>
      <c r="P262" s="39"/>
      <c r="Q262" s="12"/>
      <c r="R262" s="12"/>
      <c r="S262" s="12"/>
    </row>
    <row r="263">
      <c r="K263" s="15"/>
      <c r="L263" s="12"/>
      <c r="M263" s="12"/>
      <c r="N263" s="12"/>
      <c r="O263" s="39"/>
      <c r="P263" s="39"/>
      <c r="Q263" s="12"/>
      <c r="R263" s="12"/>
      <c r="S263" s="12"/>
    </row>
    <row r="264">
      <c r="K264" s="15"/>
      <c r="L264" s="12"/>
      <c r="M264" s="12"/>
      <c r="N264" s="12"/>
      <c r="O264" s="39"/>
      <c r="P264" s="39"/>
      <c r="Q264" s="12"/>
      <c r="R264" s="12"/>
      <c r="S264" s="12"/>
    </row>
    <row r="265">
      <c r="K265" s="15"/>
      <c r="L265" s="12"/>
      <c r="M265" s="12"/>
      <c r="N265" s="12"/>
      <c r="O265" s="39"/>
      <c r="P265" s="39"/>
      <c r="Q265" s="12"/>
      <c r="R265" s="12"/>
      <c r="S265" s="12"/>
    </row>
    <row r="266">
      <c r="K266" s="15"/>
      <c r="L266" s="12"/>
      <c r="M266" s="12"/>
      <c r="N266" s="12"/>
      <c r="O266" s="39"/>
      <c r="P266" s="39"/>
      <c r="Q266" s="12"/>
      <c r="R266" s="12"/>
      <c r="S266" s="12"/>
    </row>
    <row r="267">
      <c r="K267" s="15"/>
      <c r="L267" s="12"/>
      <c r="M267" s="12"/>
      <c r="N267" s="12"/>
      <c r="O267" s="39"/>
      <c r="P267" s="39"/>
      <c r="Q267" s="12"/>
      <c r="R267" s="12"/>
      <c r="S267" s="12"/>
    </row>
    <row r="268">
      <c r="K268" s="15"/>
      <c r="L268" s="12"/>
      <c r="M268" s="12"/>
      <c r="N268" s="12"/>
      <c r="O268" s="39"/>
      <c r="P268" s="39"/>
      <c r="Q268" s="12"/>
      <c r="R268" s="12"/>
      <c r="S268" s="12"/>
    </row>
    <row r="269">
      <c r="K269" s="15"/>
      <c r="L269" s="12"/>
      <c r="M269" s="12"/>
      <c r="N269" s="12"/>
      <c r="O269" s="39"/>
      <c r="P269" s="39"/>
      <c r="Q269" s="12"/>
      <c r="R269" s="12"/>
      <c r="S269" s="12"/>
    </row>
    <row r="270">
      <c r="K270" s="15"/>
      <c r="L270" s="12"/>
      <c r="M270" s="12"/>
      <c r="N270" s="12"/>
      <c r="O270" s="39"/>
      <c r="P270" s="39"/>
      <c r="Q270" s="12"/>
      <c r="R270" s="12"/>
      <c r="S270" s="12"/>
    </row>
    <row r="271">
      <c r="K271" s="15"/>
      <c r="L271" s="12"/>
      <c r="M271" s="12"/>
      <c r="N271" s="12"/>
      <c r="O271" s="39"/>
      <c r="P271" s="39"/>
      <c r="Q271" s="12"/>
      <c r="R271" s="12"/>
      <c r="S271" s="12"/>
    </row>
    <row r="272">
      <c r="K272" s="15"/>
      <c r="L272" s="12"/>
      <c r="M272" s="12"/>
      <c r="N272" s="12"/>
      <c r="O272" s="39"/>
      <c r="P272" s="39"/>
      <c r="Q272" s="12"/>
      <c r="R272" s="12"/>
      <c r="S272" s="12"/>
    </row>
    <row r="273">
      <c r="K273" s="15"/>
      <c r="L273" s="12"/>
      <c r="M273" s="12"/>
      <c r="N273" s="12"/>
      <c r="O273" s="39"/>
      <c r="P273" s="39"/>
      <c r="Q273" s="12"/>
      <c r="R273" s="12"/>
      <c r="S273" s="12"/>
    </row>
    <row r="274">
      <c r="K274" s="15"/>
      <c r="L274" s="12"/>
      <c r="M274" s="12"/>
      <c r="N274" s="12"/>
      <c r="O274" s="39"/>
      <c r="P274" s="39"/>
      <c r="Q274" s="12"/>
      <c r="R274" s="12"/>
      <c r="S274" s="12"/>
    </row>
    <row r="275">
      <c r="K275" s="15"/>
      <c r="L275" s="12"/>
      <c r="M275" s="12"/>
      <c r="N275" s="12"/>
      <c r="O275" s="39"/>
      <c r="P275" s="39"/>
      <c r="Q275" s="12"/>
      <c r="R275" s="12"/>
      <c r="S275" s="12"/>
    </row>
    <row r="276">
      <c r="K276" s="15"/>
      <c r="L276" s="12"/>
      <c r="M276" s="12"/>
      <c r="N276" s="12"/>
      <c r="O276" s="39"/>
      <c r="P276" s="39"/>
      <c r="Q276" s="12"/>
      <c r="R276" s="12"/>
      <c r="S276" s="12"/>
    </row>
    <row r="277">
      <c r="K277" s="15"/>
      <c r="L277" s="12"/>
      <c r="M277" s="12"/>
      <c r="N277" s="12"/>
      <c r="O277" s="39"/>
      <c r="P277" s="39"/>
      <c r="Q277" s="12"/>
      <c r="R277" s="12"/>
      <c r="S277" s="12"/>
    </row>
    <row r="278">
      <c r="K278" s="15"/>
      <c r="L278" s="12"/>
      <c r="M278" s="12"/>
      <c r="N278" s="12"/>
      <c r="O278" s="39"/>
      <c r="P278" s="39"/>
      <c r="Q278" s="12"/>
      <c r="R278" s="12"/>
      <c r="S278" s="12"/>
    </row>
    <row r="279">
      <c r="K279" s="15"/>
      <c r="L279" s="12"/>
      <c r="M279" s="12"/>
      <c r="N279" s="12"/>
      <c r="O279" s="39"/>
      <c r="P279" s="39"/>
      <c r="Q279" s="12"/>
      <c r="R279" s="12"/>
      <c r="S279" s="12"/>
    </row>
    <row r="280">
      <c r="K280" s="15"/>
      <c r="L280" s="12"/>
      <c r="M280" s="12"/>
      <c r="N280" s="12"/>
      <c r="O280" s="39"/>
      <c r="P280" s="39"/>
      <c r="Q280" s="12"/>
      <c r="R280" s="12"/>
      <c r="S280" s="12"/>
    </row>
    <row r="281">
      <c r="K281" s="15"/>
      <c r="L281" s="12"/>
      <c r="M281" s="12"/>
      <c r="N281" s="12"/>
      <c r="O281" s="39"/>
      <c r="P281" s="39"/>
      <c r="Q281" s="12"/>
      <c r="R281" s="12"/>
      <c r="S281" s="12"/>
    </row>
    <row r="282">
      <c r="K282" s="15"/>
      <c r="L282" s="12"/>
      <c r="M282" s="12"/>
      <c r="N282" s="12"/>
      <c r="O282" s="39"/>
      <c r="P282" s="39"/>
      <c r="Q282" s="12"/>
      <c r="R282" s="12"/>
      <c r="S282" s="12"/>
    </row>
    <row r="283">
      <c r="K283" s="15"/>
      <c r="L283" s="12"/>
      <c r="M283" s="12"/>
      <c r="N283" s="12"/>
      <c r="O283" s="39"/>
      <c r="P283" s="39"/>
      <c r="Q283" s="12"/>
      <c r="R283" s="12"/>
      <c r="S283" s="12"/>
    </row>
    <row r="284">
      <c r="K284" s="15"/>
      <c r="L284" s="12"/>
      <c r="M284" s="12"/>
      <c r="N284" s="12"/>
      <c r="O284" s="39"/>
      <c r="P284" s="39"/>
      <c r="Q284" s="12"/>
      <c r="R284" s="12"/>
      <c r="S284" s="12"/>
    </row>
    <row r="285">
      <c r="K285" s="15"/>
      <c r="L285" s="12"/>
      <c r="M285" s="12"/>
      <c r="N285" s="12"/>
      <c r="O285" s="39"/>
      <c r="P285" s="39"/>
      <c r="Q285" s="12"/>
      <c r="R285" s="12"/>
      <c r="S285" s="12"/>
    </row>
    <row r="286">
      <c r="K286" s="15"/>
      <c r="L286" s="12"/>
      <c r="M286" s="12"/>
      <c r="N286" s="12"/>
      <c r="O286" s="39"/>
      <c r="P286" s="39"/>
      <c r="Q286" s="12"/>
      <c r="R286" s="12"/>
      <c r="S286" s="12"/>
    </row>
    <row r="287">
      <c r="K287" s="15"/>
      <c r="L287" s="12"/>
      <c r="M287" s="12"/>
      <c r="N287" s="12"/>
      <c r="O287" s="39"/>
      <c r="P287" s="39"/>
      <c r="Q287" s="12"/>
      <c r="R287" s="12"/>
      <c r="S287" s="12"/>
    </row>
    <row r="288">
      <c r="K288" s="15"/>
      <c r="L288" s="12"/>
      <c r="M288" s="12"/>
      <c r="N288" s="12"/>
      <c r="O288" s="39"/>
      <c r="P288" s="39"/>
      <c r="Q288" s="12"/>
      <c r="R288" s="12"/>
      <c r="S288" s="12"/>
    </row>
    <row r="289">
      <c r="K289" s="15"/>
      <c r="L289" s="12"/>
      <c r="M289" s="12"/>
      <c r="N289" s="12"/>
      <c r="O289" s="39"/>
      <c r="P289" s="39"/>
      <c r="Q289" s="12"/>
      <c r="R289" s="12"/>
      <c r="S289" s="12"/>
    </row>
    <row r="290">
      <c r="K290" s="15"/>
      <c r="L290" s="12"/>
      <c r="M290" s="12"/>
      <c r="N290" s="12"/>
      <c r="O290" s="39"/>
      <c r="P290" s="39"/>
      <c r="Q290" s="12"/>
      <c r="R290" s="12"/>
      <c r="S290" s="12"/>
    </row>
    <row r="291">
      <c r="K291" s="15"/>
      <c r="L291" s="12"/>
      <c r="M291" s="12"/>
      <c r="N291" s="12"/>
      <c r="O291" s="39"/>
      <c r="P291" s="39"/>
      <c r="Q291" s="12"/>
      <c r="R291" s="12"/>
      <c r="S291" s="12"/>
    </row>
    <row r="292">
      <c r="K292" s="15"/>
      <c r="L292" s="12"/>
      <c r="M292" s="12"/>
      <c r="N292" s="12"/>
      <c r="O292" s="39"/>
      <c r="P292" s="39"/>
      <c r="Q292" s="12"/>
      <c r="R292" s="12"/>
      <c r="S292" s="12"/>
    </row>
    <row r="293">
      <c r="K293" s="15"/>
      <c r="L293" s="12"/>
      <c r="M293" s="12"/>
      <c r="N293" s="12"/>
      <c r="O293" s="39"/>
      <c r="P293" s="39"/>
      <c r="Q293" s="12"/>
      <c r="R293" s="12"/>
      <c r="S293" s="12"/>
    </row>
    <row r="294">
      <c r="K294" s="15"/>
      <c r="L294" s="12"/>
      <c r="M294" s="12"/>
      <c r="N294" s="12"/>
      <c r="O294" s="39"/>
      <c r="P294" s="39"/>
      <c r="Q294" s="12"/>
      <c r="R294" s="12"/>
      <c r="S294" s="12"/>
    </row>
    <row r="295">
      <c r="K295" s="15"/>
      <c r="L295" s="12"/>
      <c r="M295" s="12"/>
      <c r="N295" s="12"/>
      <c r="O295" s="39"/>
      <c r="P295" s="39"/>
      <c r="Q295" s="12"/>
      <c r="R295" s="12"/>
      <c r="S295" s="12"/>
    </row>
    <row r="296">
      <c r="K296" s="15"/>
      <c r="L296" s="12"/>
      <c r="M296" s="12"/>
      <c r="N296" s="12"/>
      <c r="O296" s="39"/>
      <c r="P296" s="39"/>
      <c r="Q296" s="12"/>
      <c r="R296" s="12"/>
      <c r="S296" s="12"/>
    </row>
    <row r="297">
      <c r="K297" s="15"/>
      <c r="L297" s="12"/>
      <c r="M297" s="12"/>
      <c r="N297" s="12"/>
      <c r="O297" s="39"/>
      <c r="P297" s="39"/>
      <c r="Q297" s="12"/>
      <c r="R297" s="12"/>
      <c r="S297" s="12"/>
    </row>
    <row r="298">
      <c r="K298" s="15"/>
      <c r="L298" s="12"/>
      <c r="M298" s="12"/>
      <c r="N298" s="12"/>
      <c r="O298" s="39"/>
      <c r="P298" s="39"/>
      <c r="Q298" s="12"/>
      <c r="R298" s="12"/>
      <c r="S298" s="12"/>
    </row>
    <row r="299">
      <c r="K299" s="15"/>
      <c r="L299" s="12"/>
      <c r="M299" s="12"/>
      <c r="N299" s="12"/>
      <c r="O299" s="39"/>
      <c r="P299" s="39"/>
      <c r="Q299" s="12"/>
      <c r="R299" s="12"/>
      <c r="S299" s="12"/>
    </row>
    <row r="300">
      <c r="K300" s="15"/>
      <c r="L300" s="12"/>
      <c r="M300" s="12"/>
      <c r="N300" s="12"/>
      <c r="O300" s="39"/>
      <c r="P300" s="39"/>
      <c r="Q300" s="12"/>
      <c r="R300" s="12"/>
      <c r="S300" s="12"/>
    </row>
    <row r="301">
      <c r="K301" s="15"/>
      <c r="L301" s="12"/>
      <c r="M301" s="12"/>
      <c r="N301" s="12"/>
      <c r="O301" s="39"/>
      <c r="P301" s="39"/>
      <c r="Q301" s="12"/>
      <c r="R301" s="12"/>
      <c r="S301" s="12"/>
    </row>
    <row r="302">
      <c r="K302" s="15"/>
      <c r="L302" s="12"/>
      <c r="M302" s="12"/>
      <c r="N302" s="12"/>
      <c r="O302" s="39"/>
      <c r="P302" s="39"/>
      <c r="Q302" s="12"/>
      <c r="R302" s="12"/>
      <c r="S302" s="12"/>
    </row>
    <row r="303">
      <c r="K303" s="15"/>
      <c r="L303" s="12"/>
      <c r="M303" s="12"/>
      <c r="N303" s="12"/>
      <c r="O303" s="39"/>
      <c r="P303" s="39"/>
      <c r="Q303" s="12"/>
      <c r="R303" s="12"/>
      <c r="S303" s="12"/>
    </row>
    <row r="304">
      <c r="K304" s="126"/>
      <c r="O304" s="127"/>
      <c r="P304" s="127"/>
    </row>
    <row r="305">
      <c r="K305" s="126"/>
      <c r="O305" s="127"/>
      <c r="P305" s="127"/>
    </row>
    <row r="306">
      <c r="K306" s="126"/>
      <c r="O306" s="127"/>
      <c r="P306" s="127"/>
    </row>
    <row r="307">
      <c r="K307" s="126"/>
      <c r="O307" s="127"/>
      <c r="P307" s="127"/>
    </row>
    <row r="308">
      <c r="K308" s="126"/>
      <c r="O308" s="127"/>
      <c r="P308" s="127"/>
    </row>
    <row r="309">
      <c r="K309" s="126"/>
      <c r="O309" s="127"/>
      <c r="P309" s="127"/>
    </row>
    <row r="310">
      <c r="K310" s="126"/>
      <c r="O310" s="127"/>
      <c r="P310" s="127"/>
    </row>
    <row r="311">
      <c r="K311" s="126"/>
      <c r="O311" s="127"/>
      <c r="P311" s="127"/>
    </row>
    <row r="312">
      <c r="K312" s="126"/>
      <c r="O312" s="127"/>
      <c r="P312" s="127"/>
    </row>
    <row r="313">
      <c r="K313" s="126"/>
      <c r="O313" s="127"/>
      <c r="P313" s="127"/>
    </row>
    <row r="314">
      <c r="K314" s="126"/>
      <c r="O314" s="127"/>
      <c r="P314" s="127"/>
    </row>
    <row r="315">
      <c r="K315" s="126"/>
      <c r="O315" s="127"/>
      <c r="P315" s="127"/>
    </row>
    <row r="316">
      <c r="K316" s="126"/>
      <c r="O316" s="127"/>
      <c r="P316" s="127"/>
    </row>
    <row r="317">
      <c r="K317" s="126"/>
      <c r="O317" s="127"/>
      <c r="P317" s="127"/>
    </row>
    <row r="318">
      <c r="K318" s="126"/>
      <c r="O318" s="127"/>
      <c r="P318" s="127"/>
    </row>
    <row r="319">
      <c r="K319" s="126"/>
      <c r="O319" s="127"/>
      <c r="P319" s="127"/>
    </row>
    <row r="320">
      <c r="K320" s="126"/>
      <c r="O320" s="127"/>
      <c r="P320" s="127"/>
    </row>
    <row r="321">
      <c r="K321" s="126"/>
      <c r="O321" s="127"/>
      <c r="P321" s="127"/>
    </row>
    <row r="322">
      <c r="K322" s="126"/>
      <c r="O322" s="127"/>
      <c r="P322" s="127"/>
    </row>
    <row r="323">
      <c r="K323" s="126"/>
      <c r="O323" s="127"/>
      <c r="P323" s="127"/>
    </row>
    <row r="324">
      <c r="K324" s="126"/>
      <c r="O324" s="127"/>
      <c r="P324" s="127"/>
    </row>
    <row r="325">
      <c r="K325" s="126"/>
      <c r="O325" s="127"/>
      <c r="P325" s="127"/>
    </row>
    <row r="326">
      <c r="K326" s="126"/>
      <c r="O326" s="127"/>
      <c r="P326" s="127"/>
    </row>
    <row r="327">
      <c r="K327" s="126"/>
      <c r="O327" s="127"/>
      <c r="P327" s="127"/>
    </row>
    <row r="328">
      <c r="K328" s="126"/>
      <c r="O328" s="127"/>
      <c r="P328" s="127"/>
    </row>
    <row r="329">
      <c r="K329" s="126"/>
      <c r="O329" s="127"/>
      <c r="P329" s="127"/>
    </row>
    <row r="330">
      <c r="K330" s="126"/>
      <c r="O330" s="127"/>
      <c r="P330" s="127"/>
    </row>
    <row r="331">
      <c r="K331" s="126"/>
      <c r="O331" s="127"/>
      <c r="P331" s="127"/>
    </row>
    <row r="332">
      <c r="K332" s="126"/>
      <c r="O332" s="127"/>
      <c r="P332" s="127"/>
    </row>
    <row r="333">
      <c r="K333" s="126"/>
      <c r="O333" s="127"/>
      <c r="P333" s="127"/>
    </row>
    <row r="334">
      <c r="K334" s="126"/>
      <c r="O334" s="127"/>
      <c r="P334" s="127"/>
    </row>
    <row r="335">
      <c r="K335" s="126"/>
      <c r="O335" s="127"/>
      <c r="P335" s="127"/>
    </row>
    <row r="336">
      <c r="K336" s="126"/>
      <c r="O336" s="127"/>
      <c r="P336" s="127"/>
    </row>
    <row r="337">
      <c r="K337" s="126"/>
      <c r="O337" s="127"/>
      <c r="P337" s="127"/>
    </row>
    <row r="338">
      <c r="K338" s="126"/>
      <c r="O338" s="127"/>
      <c r="P338" s="127"/>
    </row>
    <row r="339">
      <c r="K339" s="126"/>
      <c r="O339" s="127"/>
      <c r="P339" s="127"/>
    </row>
    <row r="340">
      <c r="K340" s="126"/>
      <c r="O340" s="127"/>
      <c r="P340" s="127"/>
    </row>
    <row r="341">
      <c r="K341" s="126"/>
      <c r="O341" s="127"/>
      <c r="P341" s="127"/>
    </row>
    <row r="342">
      <c r="K342" s="126"/>
      <c r="O342" s="127"/>
      <c r="P342" s="127"/>
    </row>
    <row r="343">
      <c r="K343" s="126"/>
      <c r="O343" s="127"/>
      <c r="P343" s="127"/>
    </row>
    <row r="344">
      <c r="K344" s="126"/>
      <c r="O344" s="127"/>
      <c r="P344" s="127"/>
    </row>
    <row r="345">
      <c r="K345" s="126"/>
      <c r="O345" s="127"/>
      <c r="P345" s="127"/>
    </row>
    <row r="346">
      <c r="K346" s="126"/>
      <c r="O346" s="127"/>
      <c r="P346" s="127"/>
    </row>
    <row r="347">
      <c r="K347" s="126"/>
      <c r="O347" s="127"/>
      <c r="P347" s="127"/>
    </row>
    <row r="348">
      <c r="K348" s="126"/>
      <c r="O348" s="127"/>
      <c r="P348" s="127"/>
    </row>
    <row r="349">
      <c r="K349" s="126"/>
      <c r="O349" s="127"/>
      <c r="P349" s="127"/>
    </row>
    <row r="350">
      <c r="K350" s="126"/>
      <c r="O350" s="127"/>
      <c r="P350" s="127"/>
    </row>
    <row r="351">
      <c r="K351" s="126"/>
      <c r="O351" s="127"/>
      <c r="P351" s="127"/>
    </row>
    <row r="352">
      <c r="K352" s="126"/>
      <c r="O352" s="127"/>
      <c r="P352" s="127"/>
    </row>
    <row r="353">
      <c r="K353" s="126"/>
      <c r="O353" s="127"/>
      <c r="P353" s="127"/>
    </row>
    <row r="354">
      <c r="K354" s="126"/>
      <c r="O354" s="127"/>
      <c r="P354" s="127"/>
    </row>
    <row r="355">
      <c r="K355" s="126"/>
      <c r="O355" s="127"/>
      <c r="P355" s="127"/>
    </row>
    <row r="356">
      <c r="K356" s="126"/>
      <c r="O356" s="127"/>
      <c r="P356" s="127"/>
    </row>
    <row r="357">
      <c r="K357" s="126"/>
      <c r="O357" s="127"/>
      <c r="P357" s="127"/>
    </row>
    <row r="358">
      <c r="K358" s="126"/>
      <c r="O358" s="127"/>
      <c r="P358" s="127"/>
    </row>
    <row r="359">
      <c r="K359" s="126"/>
      <c r="O359" s="127"/>
      <c r="P359" s="127"/>
    </row>
    <row r="360">
      <c r="K360" s="126"/>
      <c r="O360" s="127"/>
      <c r="P360" s="127"/>
    </row>
    <row r="361">
      <c r="K361" s="126"/>
      <c r="O361" s="127"/>
      <c r="P361" s="127"/>
    </row>
    <row r="362">
      <c r="K362" s="126"/>
      <c r="O362" s="127"/>
      <c r="P362" s="127"/>
    </row>
    <row r="363">
      <c r="K363" s="126"/>
      <c r="O363" s="127"/>
      <c r="P363" s="127"/>
    </row>
    <row r="364">
      <c r="K364" s="126"/>
      <c r="O364" s="127"/>
      <c r="P364" s="127"/>
    </row>
    <row r="365">
      <c r="K365" s="126"/>
      <c r="O365" s="127"/>
      <c r="P365" s="127"/>
    </row>
    <row r="366">
      <c r="K366" s="126"/>
      <c r="O366" s="127"/>
      <c r="P366" s="127"/>
    </row>
    <row r="367">
      <c r="K367" s="126"/>
      <c r="O367" s="127"/>
      <c r="P367" s="127"/>
    </row>
    <row r="368">
      <c r="K368" s="126"/>
      <c r="O368" s="127"/>
      <c r="P368" s="127"/>
    </row>
    <row r="369">
      <c r="K369" s="126"/>
      <c r="O369" s="127"/>
      <c r="P369" s="127"/>
    </row>
    <row r="370">
      <c r="K370" s="126"/>
      <c r="O370" s="127"/>
      <c r="P370" s="127"/>
    </row>
    <row r="371">
      <c r="K371" s="126"/>
      <c r="O371" s="127"/>
      <c r="P371" s="127"/>
    </row>
    <row r="372">
      <c r="K372" s="126"/>
      <c r="O372" s="127"/>
      <c r="P372" s="127"/>
    </row>
    <row r="373">
      <c r="K373" s="126"/>
      <c r="O373" s="127"/>
      <c r="P373" s="127"/>
    </row>
    <row r="374">
      <c r="K374" s="126"/>
      <c r="O374" s="127"/>
      <c r="P374" s="127"/>
    </row>
    <row r="375">
      <c r="K375" s="126"/>
      <c r="O375" s="127"/>
      <c r="P375" s="127"/>
    </row>
    <row r="376">
      <c r="K376" s="126"/>
      <c r="O376" s="127"/>
      <c r="P376" s="127"/>
    </row>
    <row r="377">
      <c r="K377" s="126"/>
      <c r="O377" s="127"/>
      <c r="P377" s="127"/>
    </row>
    <row r="378">
      <c r="K378" s="126"/>
      <c r="O378" s="127"/>
      <c r="P378" s="127"/>
    </row>
    <row r="379">
      <c r="K379" s="126"/>
      <c r="O379" s="127"/>
      <c r="P379" s="127"/>
    </row>
    <row r="380">
      <c r="K380" s="126"/>
      <c r="O380" s="127"/>
      <c r="P380" s="127"/>
    </row>
    <row r="381">
      <c r="K381" s="126"/>
      <c r="O381" s="127"/>
      <c r="P381" s="127"/>
    </row>
    <row r="382">
      <c r="K382" s="126"/>
      <c r="O382" s="127"/>
      <c r="P382" s="127"/>
    </row>
    <row r="383">
      <c r="K383" s="126"/>
      <c r="O383" s="127"/>
      <c r="P383" s="127"/>
    </row>
    <row r="384">
      <c r="K384" s="126"/>
      <c r="O384" s="127"/>
      <c r="P384" s="127"/>
    </row>
    <row r="385">
      <c r="K385" s="126"/>
      <c r="O385" s="127"/>
      <c r="P385" s="127"/>
    </row>
    <row r="386">
      <c r="K386" s="126"/>
      <c r="O386" s="127"/>
      <c r="P386" s="127"/>
    </row>
    <row r="387">
      <c r="K387" s="126"/>
      <c r="O387" s="127"/>
      <c r="P387" s="127"/>
    </row>
    <row r="388">
      <c r="K388" s="126"/>
      <c r="O388" s="127"/>
      <c r="P388" s="127"/>
    </row>
    <row r="389">
      <c r="K389" s="126"/>
      <c r="O389" s="127"/>
      <c r="P389" s="127"/>
    </row>
    <row r="390">
      <c r="K390" s="126"/>
      <c r="O390" s="127"/>
      <c r="P390" s="127"/>
    </row>
    <row r="391">
      <c r="K391" s="126"/>
      <c r="O391" s="127"/>
      <c r="P391" s="127"/>
    </row>
    <row r="392">
      <c r="K392" s="126"/>
      <c r="O392" s="127"/>
      <c r="P392" s="127"/>
    </row>
    <row r="393">
      <c r="K393" s="126"/>
      <c r="O393" s="127"/>
      <c r="P393" s="127"/>
    </row>
    <row r="394">
      <c r="K394" s="126"/>
      <c r="O394" s="127"/>
      <c r="P394" s="127"/>
    </row>
    <row r="395">
      <c r="K395" s="126"/>
      <c r="O395" s="127"/>
      <c r="P395" s="127"/>
    </row>
    <row r="396">
      <c r="K396" s="126"/>
      <c r="O396" s="127"/>
      <c r="P396" s="127"/>
    </row>
    <row r="397">
      <c r="K397" s="126"/>
      <c r="O397" s="127"/>
      <c r="P397" s="127"/>
    </row>
    <row r="398">
      <c r="K398" s="126"/>
      <c r="O398" s="127"/>
      <c r="P398" s="127"/>
    </row>
    <row r="399">
      <c r="K399" s="126"/>
      <c r="O399" s="127"/>
      <c r="P399" s="127"/>
    </row>
    <row r="400">
      <c r="K400" s="126"/>
      <c r="O400" s="127"/>
      <c r="P400" s="127"/>
    </row>
    <row r="401">
      <c r="K401" s="126"/>
      <c r="O401" s="127"/>
      <c r="P401" s="127"/>
    </row>
    <row r="402">
      <c r="K402" s="126"/>
      <c r="O402" s="127"/>
      <c r="P402" s="127"/>
    </row>
    <row r="403">
      <c r="K403" s="126"/>
      <c r="O403" s="127"/>
      <c r="P403" s="127"/>
    </row>
    <row r="404">
      <c r="K404" s="126"/>
      <c r="O404" s="127"/>
      <c r="P404" s="127"/>
    </row>
    <row r="405">
      <c r="K405" s="126"/>
      <c r="O405" s="127"/>
      <c r="P405" s="127"/>
    </row>
    <row r="406">
      <c r="K406" s="126"/>
      <c r="O406" s="127"/>
      <c r="P406" s="127"/>
    </row>
    <row r="407">
      <c r="K407" s="126"/>
      <c r="O407" s="127"/>
      <c r="P407" s="127"/>
    </row>
    <row r="408">
      <c r="K408" s="126"/>
      <c r="O408" s="127"/>
      <c r="P408" s="127"/>
    </row>
    <row r="409">
      <c r="K409" s="126"/>
      <c r="O409" s="127"/>
      <c r="P409" s="127"/>
    </row>
    <row r="410">
      <c r="K410" s="126"/>
      <c r="O410" s="127"/>
      <c r="P410" s="127"/>
    </row>
    <row r="411">
      <c r="K411" s="126"/>
      <c r="O411" s="127"/>
      <c r="P411" s="127"/>
    </row>
    <row r="412">
      <c r="K412" s="126"/>
      <c r="O412" s="127"/>
      <c r="P412" s="127"/>
    </row>
    <row r="413">
      <c r="K413" s="126"/>
      <c r="O413" s="127"/>
      <c r="P413" s="127"/>
    </row>
    <row r="414">
      <c r="K414" s="126"/>
      <c r="O414" s="127"/>
      <c r="P414" s="127"/>
    </row>
    <row r="415">
      <c r="K415" s="126"/>
      <c r="O415" s="127"/>
      <c r="P415" s="127"/>
    </row>
    <row r="416">
      <c r="K416" s="126"/>
      <c r="O416" s="127"/>
      <c r="P416" s="127"/>
    </row>
    <row r="417">
      <c r="K417" s="126"/>
      <c r="O417" s="127"/>
      <c r="P417" s="127"/>
    </row>
    <row r="418">
      <c r="K418" s="126"/>
      <c r="O418" s="127"/>
      <c r="P418" s="127"/>
    </row>
    <row r="419">
      <c r="K419" s="126"/>
      <c r="O419" s="127"/>
      <c r="P419" s="127"/>
    </row>
    <row r="420">
      <c r="K420" s="126"/>
      <c r="O420" s="127"/>
      <c r="P420" s="127"/>
    </row>
    <row r="421">
      <c r="K421" s="126"/>
      <c r="O421" s="127"/>
      <c r="P421" s="127"/>
    </row>
    <row r="422">
      <c r="K422" s="126"/>
      <c r="O422" s="127"/>
      <c r="P422" s="127"/>
    </row>
    <row r="423">
      <c r="K423" s="126"/>
      <c r="O423" s="127"/>
      <c r="P423" s="127"/>
    </row>
    <row r="424">
      <c r="K424" s="126"/>
      <c r="O424" s="127"/>
      <c r="P424" s="127"/>
    </row>
    <row r="425">
      <c r="K425" s="126"/>
      <c r="O425" s="127"/>
      <c r="P425" s="127"/>
    </row>
    <row r="426">
      <c r="K426" s="126"/>
      <c r="O426" s="127"/>
      <c r="P426" s="127"/>
    </row>
    <row r="427">
      <c r="K427" s="126"/>
      <c r="O427" s="127"/>
      <c r="P427" s="127"/>
    </row>
    <row r="428">
      <c r="K428" s="126"/>
      <c r="O428" s="127"/>
      <c r="P428" s="127"/>
    </row>
    <row r="429">
      <c r="K429" s="126"/>
      <c r="O429" s="127"/>
      <c r="P429" s="127"/>
    </row>
    <row r="430">
      <c r="K430" s="126"/>
      <c r="O430" s="127"/>
      <c r="P430" s="127"/>
    </row>
    <row r="431">
      <c r="K431" s="126"/>
      <c r="O431" s="127"/>
      <c r="P431" s="127"/>
    </row>
    <row r="432">
      <c r="K432" s="126"/>
      <c r="O432" s="127"/>
      <c r="P432" s="127"/>
    </row>
    <row r="433">
      <c r="K433" s="126"/>
      <c r="O433" s="127"/>
      <c r="P433" s="127"/>
    </row>
    <row r="434">
      <c r="K434" s="126"/>
      <c r="O434" s="127"/>
      <c r="P434" s="127"/>
    </row>
    <row r="435">
      <c r="K435" s="126"/>
      <c r="O435" s="127"/>
      <c r="P435" s="127"/>
    </row>
    <row r="436">
      <c r="K436" s="126"/>
      <c r="O436" s="127"/>
      <c r="P436" s="127"/>
    </row>
    <row r="437">
      <c r="K437" s="126"/>
      <c r="O437" s="127"/>
      <c r="P437" s="127"/>
    </row>
    <row r="438">
      <c r="K438" s="126"/>
      <c r="O438" s="127"/>
      <c r="P438" s="127"/>
    </row>
    <row r="439">
      <c r="K439" s="126"/>
      <c r="O439" s="127"/>
      <c r="P439" s="127"/>
    </row>
    <row r="440">
      <c r="K440" s="126"/>
      <c r="O440" s="127"/>
      <c r="P440" s="127"/>
    </row>
    <row r="441">
      <c r="K441" s="126"/>
      <c r="O441" s="127"/>
      <c r="P441" s="127"/>
    </row>
    <row r="442">
      <c r="K442" s="126"/>
      <c r="O442" s="127"/>
      <c r="P442" s="127"/>
    </row>
    <row r="443">
      <c r="K443" s="126"/>
      <c r="O443" s="127"/>
      <c r="P443" s="127"/>
    </row>
    <row r="444">
      <c r="K444" s="126"/>
      <c r="O444" s="127"/>
      <c r="P444" s="127"/>
    </row>
    <row r="445">
      <c r="K445" s="126"/>
      <c r="O445" s="127"/>
      <c r="P445" s="127"/>
    </row>
    <row r="446">
      <c r="K446" s="126"/>
      <c r="O446" s="127"/>
      <c r="P446" s="127"/>
    </row>
    <row r="447">
      <c r="K447" s="126"/>
      <c r="O447" s="127"/>
      <c r="P447" s="127"/>
    </row>
    <row r="448">
      <c r="K448" s="126"/>
      <c r="O448" s="127"/>
      <c r="P448" s="127"/>
    </row>
    <row r="449">
      <c r="K449" s="126"/>
      <c r="O449" s="127"/>
      <c r="P449" s="127"/>
    </row>
    <row r="450">
      <c r="K450" s="126"/>
      <c r="O450" s="127"/>
      <c r="P450" s="127"/>
    </row>
    <row r="451">
      <c r="K451" s="126"/>
      <c r="O451" s="127"/>
      <c r="P451" s="127"/>
    </row>
    <row r="452">
      <c r="K452" s="126"/>
      <c r="O452" s="127"/>
      <c r="P452" s="127"/>
    </row>
    <row r="453">
      <c r="K453" s="126"/>
      <c r="O453" s="127"/>
      <c r="P453" s="127"/>
    </row>
    <row r="454">
      <c r="K454" s="126"/>
      <c r="O454" s="127"/>
      <c r="P454" s="127"/>
    </row>
    <row r="455">
      <c r="K455" s="126"/>
      <c r="O455" s="127"/>
      <c r="P455" s="127"/>
    </row>
    <row r="456">
      <c r="K456" s="126"/>
      <c r="O456" s="127"/>
      <c r="P456" s="127"/>
    </row>
    <row r="457">
      <c r="K457" s="126"/>
      <c r="O457" s="127"/>
      <c r="P457" s="127"/>
    </row>
    <row r="458">
      <c r="K458" s="126"/>
      <c r="O458" s="127"/>
      <c r="P458" s="127"/>
    </row>
    <row r="459">
      <c r="K459" s="126"/>
      <c r="O459" s="127"/>
      <c r="P459" s="127"/>
    </row>
    <row r="460">
      <c r="K460" s="126"/>
      <c r="O460" s="127"/>
      <c r="P460" s="127"/>
    </row>
    <row r="461">
      <c r="K461" s="126"/>
      <c r="O461" s="127"/>
      <c r="P461" s="127"/>
    </row>
    <row r="462">
      <c r="K462" s="126"/>
      <c r="O462" s="127"/>
      <c r="P462" s="127"/>
    </row>
    <row r="463">
      <c r="K463" s="126"/>
      <c r="O463" s="127"/>
      <c r="P463" s="127"/>
    </row>
    <row r="464">
      <c r="K464" s="126"/>
      <c r="O464" s="127"/>
      <c r="P464" s="127"/>
    </row>
    <row r="465">
      <c r="K465" s="126"/>
      <c r="O465" s="127"/>
      <c r="P465" s="127"/>
    </row>
    <row r="466">
      <c r="K466" s="126"/>
      <c r="O466" s="127"/>
      <c r="P466" s="127"/>
    </row>
    <row r="467">
      <c r="K467" s="126"/>
      <c r="O467" s="127"/>
      <c r="P467" s="127"/>
    </row>
    <row r="468">
      <c r="K468" s="126"/>
      <c r="O468" s="127"/>
      <c r="P468" s="127"/>
    </row>
    <row r="469">
      <c r="K469" s="126"/>
      <c r="O469" s="127"/>
      <c r="P469" s="127"/>
    </row>
    <row r="470">
      <c r="K470" s="126"/>
      <c r="O470" s="127"/>
      <c r="P470" s="127"/>
    </row>
    <row r="471">
      <c r="K471" s="126"/>
      <c r="O471" s="127"/>
      <c r="P471" s="127"/>
    </row>
    <row r="472">
      <c r="K472" s="126"/>
      <c r="O472" s="127"/>
      <c r="P472" s="127"/>
    </row>
    <row r="473">
      <c r="K473" s="126"/>
      <c r="O473" s="127"/>
      <c r="P473" s="127"/>
    </row>
    <row r="474">
      <c r="K474" s="126"/>
      <c r="O474" s="127"/>
      <c r="P474" s="127"/>
    </row>
    <row r="475">
      <c r="K475" s="126"/>
      <c r="O475" s="127"/>
      <c r="P475" s="127"/>
    </row>
    <row r="476">
      <c r="K476" s="126"/>
      <c r="O476" s="127"/>
      <c r="P476" s="127"/>
    </row>
    <row r="477">
      <c r="K477" s="126"/>
      <c r="O477" s="127"/>
      <c r="P477" s="127"/>
    </row>
    <row r="478">
      <c r="K478" s="126"/>
      <c r="O478" s="127"/>
      <c r="P478" s="127"/>
    </row>
    <row r="479">
      <c r="K479" s="126"/>
      <c r="O479" s="127"/>
      <c r="P479" s="127"/>
    </row>
    <row r="480">
      <c r="K480" s="126"/>
      <c r="O480" s="127"/>
      <c r="P480" s="127"/>
    </row>
    <row r="481">
      <c r="K481" s="126"/>
      <c r="O481" s="127"/>
      <c r="P481" s="127"/>
    </row>
    <row r="482">
      <c r="K482" s="126"/>
      <c r="O482" s="127"/>
      <c r="P482" s="127"/>
    </row>
    <row r="483">
      <c r="K483" s="126"/>
      <c r="O483" s="127"/>
      <c r="P483" s="127"/>
    </row>
    <row r="484">
      <c r="K484" s="126"/>
      <c r="O484" s="127"/>
      <c r="P484" s="127"/>
    </row>
    <row r="485">
      <c r="K485" s="126"/>
      <c r="O485" s="127"/>
      <c r="P485" s="127"/>
    </row>
    <row r="486">
      <c r="K486" s="126"/>
      <c r="O486" s="127"/>
      <c r="P486" s="127"/>
    </row>
    <row r="487">
      <c r="K487" s="126"/>
      <c r="O487" s="127"/>
      <c r="P487" s="127"/>
    </row>
    <row r="488">
      <c r="K488" s="126"/>
      <c r="O488" s="127"/>
      <c r="P488" s="127"/>
    </row>
    <row r="489">
      <c r="K489" s="126"/>
      <c r="O489" s="127"/>
      <c r="P489" s="127"/>
    </row>
    <row r="490">
      <c r="K490" s="126"/>
      <c r="O490" s="127"/>
      <c r="P490" s="127"/>
    </row>
    <row r="491">
      <c r="K491" s="126"/>
      <c r="O491" s="127"/>
      <c r="P491" s="127"/>
    </row>
    <row r="492">
      <c r="K492" s="126"/>
      <c r="O492" s="127"/>
      <c r="P492" s="127"/>
    </row>
    <row r="493">
      <c r="K493" s="126"/>
      <c r="O493" s="127"/>
      <c r="P493" s="127"/>
    </row>
    <row r="494">
      <c r="K494" s="126"/>
      <c r="O494" s="127"/>
      <c r="P494" s="127"/>
    </row>
    <row r="495">
      <c r="K495" s="126"/>
      <c r="O495" s="127"/>
      <c r="P495" s="127"/>
    </row>
    <row r="496">
      <c r="K496" s="126"/>
      <c r="O496" s="127"/>
      <c r="P496" s="127"/>
    </row>
    <row r="497">
      <c r="K497" s="126"/>
      <c r="O497" s="127"/>
      <c r="P497" s="127"/>
    </row>
    <row r="498">
      <c r="K498" s="126"/>
      <c r="O498" s="127"/>
      <c r="P498" s="127"/>
    </row>
    <row r="499">
      <c r="K499" s="126"/>
      <c r="O499" s="127"/>
      <c r="P499" s="127"/>
    </row>
    <row r="500">
      <c r="K500" s="126"/>
      <c r="O500" s="127"/>
      <c r="P500" s="127"/>
    </row>
    <row r="501">
      <c r="K501" s="126"/>
      <c r="O501" s="127"/>
      <c r="P501" s="127"/>
    </row>
    <row r="502">
      <c r="K502" s="126"/>
      <c r="O502" s="127"/>
      <c r="P502" s="127"/>
    </row>
    <row r="503">
      <c r="K503" s="126"/>
      <c r="O503" s="127"/>
      <c r="P503" s="127"/>
    </row>
    <row r="504">
      <c r="K504" s="126"/>
      <c r="O504" s="127"/>
      <c r="P504" s="127"/>
    </row>
    <row r="505">
      <c r="K505" s="126"/>
      <c r="O505" s="127"/>
      <c r="P505" s="127"/>
    </row>
    <row r="506">
      <c r="K506" s="126"/>
      <c r="O506" s="127"/>
      <c r="P506" s="127"/>
    </row>
    <row r="507">
      <c r="K507" s="126"/>
      <c r="O507" s="127"/>
      <c r="P507" s="127"/>
    </row>
    <row r="508">
      <c r="K508" s="126"/>
      <c r="O508" s="127"/>
      <c r="P508" s="127"/>
    </row>
    <row r="509">
      <c r="K509" s="126"/>
      <c r="O509" s="127"/>
      <c r="P509" s="127"/>
    </row>
    <row r="510">
      <c r="K510" s="126"/>
      <c r="O510" s="127"/>
      <c r="P510" s="127"/>
    </row>
    <row r="511">
      <c r="K511" s="126"/>
      <c r="O511" s="127"/>
      <c r="P511" s="127"/>
    </row>
    <row r="512">
      <c r="K512" s="126"/>
      <c r="O512" s="127"/>
      <c r="P512" s="127"/>
    </row>
    <row r="513">
      <c r="K513" s="126"/>
      <c r="O513" s="127"/>
      <c r="P513" s="127"/>
    </row>
    <row r="514">
      <c r="K514" s="126"/>
      <c r="O514" s="127"/>
      <c r="P514" s="127"/>
    </row>
    <row r="515">
      <c r="K515" s="126"/>
      <c r="O515" s="127"/>
      <c r="P515" s="127"/>
    </row>
    <row r="516">
      <c r="K516" s="126"/>
      <c r="O516" s="127"/>
      <c r="P516" s="127"/>
    </row>
    <row r="517">
      <c r="K517" s="126"/>
      <c r="O517" s="127"/>
      <c r="P517" s="127"/>
    </row>
    <row r="518">
      <c r="K518" s="126"/>
      <c r="O518" s="127"/>
      <c r="P518" s="127"/>
    </row>
    <row r="519">
      <c r="K519" s="126"/>
      <c r="O519" s="127"/>
      <c r="P519" s="127"/>
    </row>
    <row r="520">
      <c r="K520" s="126"/>
      <c r="O520" s="127"/>
      <c r="P520" s="127"/>
    </row>
    <row r="521">
      <c r="K521" s="126"/>
      <c r="O521" s="127"/>
      <c r="P521" s="127"/>
    </row>
    <row r="522">
      <c r="K522" s="126"/>
      <c r="O522" s="127"/>
      <c r="P522" s="127"/>
    </row>
    <row r="523">
      <c r="K523" s="126"/>
      <c r="O523" s="127"/>
      <c r="P523" s="127"/>
    </row>
    <row r="524">
      <c r="K524" s="126"/>
      <c r="O524" s="127"/>
      <c r="P524" s="127"/>
    </row>
    <row r="525">
      <c r="K525" s="126"/>
      <c r="O525" s="127"/>
      <c r="P525" s="127"/>
    </row>
    <row r="526">
      <c r="K526" s="126"/>
      <c r="O526" s="127"/>
      <c r="P526" s="127"/>
    </row>
    <row r="527">
      <c r="K527" s="126"/>
      <c r="O527" s="127"/>
      <c r="P527" s="127"/>
    </row>
    <row r="528">
      <c r="K528" s="126"/>
      <c r="O528" s="127"/>
      <c r="P528" s="127"/>
    </row>
    <row r="529">
      <c r="K529" s="126"/>
      <c r="O529" s="127"/>
      <c r="P529" s="127"/>
    </row>
    <row r="530">
      <c r="K530" s="126"/>
      <c r="O530" s="127"/>
      <c r="P530" s="127"/>
    </row>
    <row r="531">
      <c r="K531" s="126"/>
      <c r="O531" s="127"/>
      <c r="P531" s="127"/>
    </row>
    <row r="532">
      <c r="K532" s="126"/>
      <c r="O532" s="127"/>
      <c r="P532" s="127"/>
    </row>
    <row r="533">
      <c r="K533" s="126"/>
      <c r="O533" s="127"/>
      <c r="P533" s="127"/>
    </row>
    <row r="534">
      <c r="K534" s="126"/>
      <c r="O534" s="127"/>
      <c r="P534" s="127"/>
    </row>
    <row r="535">
      <c r="K535" s="126"/>
      <c r="O535" s="127"/>
      <c r="P535" s="127"/>
    </row>
    <row r="536">
      <c r="K536" s="126"/>
      <c r="O536" s="127"/>
      <c r="P536" s="127"/>
    </row>
    <row r="537">
      <c r="K537" s="126"/>
      <c r="O537" s="127"/>
      <c r="P537" s="127"/>
    </row>
    <row r="538">
      <c r="K538" s="126"/>
      <c r="O538" s="127"/>
      <c r="P538" s="127"/>
    </row>
    <row r="539">
      <c r="K539" s="126"/>
      <c r="O539" s="127"/>
      <c r="P539" s="127"/>
    </row>
    <row r="540">
      <c r="K540" s="126"/>
      <c r="O540" s="127"/>
      <c r="P540" s="127"/>
    </row>
    <row r="541">
      <c r="K541" s="126"/>
      <c r="O541" s="127"/>
      <c r="P541" s="127"/>
    </row>
    <row r="542">
      <c r="K542" s="126"/>
      <c r="O542" s="127"/>
      <c r="P542" s="127"/>
    </row>
    <row r="543">
      <c r="K543" s="126"/>
      <c r="O543" s="127"/>
      <c r="P543" s="127"/>
    </row>
    <row r="544">
      <c r="K544" s="126"/>
      <c r="O544" s="127"/>
      <c r="P544" s="127"/>
    </row>
    <row r="545">
      <c r="K545" s="126"/>
      <c r="O545" s="127"/>
      <c r="P545" s="127"/>
    </row>
    <row r="546">
      <c r="K546" s="126"/>
      <c r="O546" s="127"/>
      <c r="P546" s="127"/>
    </row>
    <row r="547">
      <c r="K547" s="126"/>
      <c r="O547" s="127"/>
      <c r="P547" s="127"/>
    </row>
    <row r="548">
      <c r="K548" s="126"/>
      <c r="O548" s="127"/>
      <c r="P548" s="127"/>
    </row>
    <row r="549">
      <c r="K549" s="126"/>
      <c r="O549" s="127"/>
      <c r="P549" s="127"/>
    </row>
    <row r="550">
      <c r="K550" s="126"/>
      <c r="O550" s="127"/>
      <c r="P550" s="127"/>
    </row>
    <row r="551">
      <c r="K551" s="126"/>
      <c r="O551" s="127"/>
      <c r="P551" s="127"/>
    </row>
    <row r="552">
      <c r="K552" s="126"/>
      <c r="O552" s="127"/>
      <c r="P552" s="127"/>
    </row>
    <row r="553">
      <c r="K553" s="126"/>
      <c r="O553" s="127"/>
      <c r="P553" s="127"/>
    </row>
    <row r="554">
      <c r="K554" s="126"/>
      <c r="O554" s="127"/>
      <c r="P554" s="127"/>
    </row>
    <row r="555">
      <c r="K555" s="126"/>
      <c r="O555" s="127"/>
      <c r="P555" s="127"/>
    </row>
    <row r="556">
      <c r="K556" s="126"/>
      <c r="O556" s="127"/>
      <c r="P556" s="127"/>
    </row>
    <row r="557">
      <c r="K557" s="126"/>
      <c r="O557" s="127"/>
      <c r="P557" s="127"/>
    </row>
    <row r="558">
      <c r="K558" s="126"/>
      <c r="O558" s="127"/>
      <c r="P558" s="127"/>
    </row>
    <row r="559">
      <c r="K559" s="126"/>
      <c r="O559" s="127"/>
      <c r="P559" s="127"/>
    </row>
    <row r="560">
      <c r="K560" s="126"/>
      <c r="O560" s="127"/>
      <c r="P560" s="127"/>
    </row>
    <row r="561">
      <c r="K561" s="126"/>
      <c r="O561" s="127"/>
      <c r="P561" s="127"/>
    </row>
    <row r="562">
      <c r="K562" s="126"/>
      <c r="O562" s="127"/>
      <c r="P562" s="127"/>
    </row>
    <row r="563">
      <c r="K563" s="126"/>
      <c r="O563" s="127"/>
      <c r="P563" s="127"/>
    </row>
    <row r="564">
      <c r="K564" s="126"/>
      <c r="O564" s="127"/>
      <c r="P564" s="127"/>
    </row>
    <row r="565">
      <c r="K565" s="126"/>
      <c r="O565" s="127"/>
      <c r="P565" s="127"/>
    </row>
    <row r="566">
      <c r="K566" s="126"/>
      <c r="O566" s="127"/>
      <c r="P566" s="127"/>
    </row>
    <row r="567">
      <c r="K567" s="126"/>
      <c r="O567" s="127"/>
      <c r="P567" s="127"/>
    </row>
    <row r="568">
      <c r="K568" s="126"/>
      <c r="O568" s="127"/>
      <c r="P568" s="127"/>
    </row>
    <row r="569">
      <c r="K569" s="126"/>
      <c r="O569" s="127"/>
      <c r="P569" s="127"/>
    </row>
    <row r="570">
      <c r="K570" s="126"/>
      <c r="O570" s="127"/>
      <c r="P570" s="127"/>
    </row>
    <row r="571">
      <c r="K571" s="126"/>
      <c r="O571" s="127"/>
      <c r="P571" s="127"/>
    </row>
    <row r="572">
      <c r="K572" s="126"/>
      <c r="O572" s="127"/>
      <c r="P572" s="127"/>
    </row>
    <row r="573">
      <c r="K573" s="126"/>
      <c r="O573" s="127"/>
      <c r="P573" s="127"/>
    </row>
    <row r="574">
      <c r="K574" s="126"/>
      <c r="O574" s="127"/>
      <c r="P574" s="127"/>
    </row>
    <row r="575">
      <c r="K575" s="126"/>
      <c r="O575" s="127"/>
      <c r="P575" s="127"/>
    </row>
    <row r="576">
      <c r="K576" s="126"/>
      <c r="O576" s="127"/>
      <c r="P576" s="127"/>
    </row>
    <row r="577">
      <c r="K577" s="126"/>
      <c r="O577" s="127"/>
      <c r="P577" s="127"/>
    </row>
    <row r="578">
      <c r="K578" s="126"/>
      <c r="O578" s="127"/>
      <c r="P578" s="127"/>
    </row>
    <row r="579">
      <c r="K579" s="126"/>
      <c r="O579" s="127"/>
      <c r="P579" s="127"/>
    </row>
    <row r="580">
      <c r="K580" s="126"/>
      <c r="O580" s="127"/>
      <c r="P580" s="127"/>
    </row>
    <row r="581">
      <c r="K581" s="126"/>
      <c r="O581" s="127"/>
      <c r="P581" s="127"/>
    </row>
    <row r="582">
      <c r="K582" s="126"/>
      <c r="O582" s="127"/>
      <c r="P582" s="127"/>
    </row>
    <row r="583">
      <c r="K583" s="126"/>
      <c r="O583" s="127"/>
      <c r="P583" s="127"/>
    </row>
    <row r="584">
      <c r="K584" s="126"/>
      <c r="O584" s="127"/>
      <c r="P584" s="127"/>
    </row>
    <row r="585">
      <c r="K585" s="126"/>
      <c r="O585" s="127"/>
      <c r="P585" s="127"/>
    </row>
    <row r="586">
      <c r="K586" s="126"/>
      <c r="O586" s="127"/>
      <c r="P586" s="127"/>
    </row>
    <row r="587">
      <c r="K587" s="126"/>
      <c r="O587" s="127"/>
      <c r="P587" s="127"/>
    </row>
    <row r="588">
      <c r="K588" s="126"/>
      <c r="O588" s="127"/>
      <c r="P588" s="127"/>
    </row>
    <row r="589">
      <c r="K589" s="126"/>
      <c r="O589" s="127"/>
      <c r="P589" s="127"/>
    </row>
    <row r="590">
      <c r="K590" s="126"/>
      <c r="O590" s="127"/>
      <c r="P590" s="127"/>
    </row>
    <row r="591">
      <c r="K591" s="126"/>
      <c r="O591" s="127"/>
      <c r="P591" s="127"/>
    </row>
    <row r="592">
      <c r="K592" s="126"/>
      <c r="O592" s="127"/>
      <c r="P592" s="127"/>
    </row>
    <row r="593">
      <c r="K593" s="126"/>
      <c r="O593" s="127"/>
      <c r="P593" s="127"/>
    </row>
    <row r="594">
      <c r="K594" s="126"/>
      <c r="O594" s="127"/>
      <c r="P594" s="127"/>
    </row>
    <row r="595">
      <c r="K595" s="126"/>
      <c r="O595" s="127"/>
      <c r="P595" s="127"/>
    </row>
    <row r="596">
      <c r="K596" s="126"/>
      <c r="O596" s="127"/>
      <c r="P596" s="127"/>
    </row>
    <row r="597">
      <c r="K597" s="126"/>
      <c r="O597" s="127"/>
      <c r="P597" s="127"/>
    </row>
    <row r="598">
      <c r="K598" s="126"/>
      <c r="O598" s="127"/>
      <c r="P598" s="127"/>
    </row>
    <row r="599">
      <c r="K599" s="126"/>
      <c r="O599" s="127"/>
      <c r="P599" s="127"/>
    </row>
    <row r="600">
      <c r="K600" s="126"/>
      <c r="O600" s="127"/>
      <c r="P600" s="127"/>
    </row>
    <row r="601">
      <c r="K601" s="126"/>
      <c r="O601" s="127"/>
      <c r="P601" s="127"/>
    </row>
    <row r="602">
      <c r="K602" s="126"/>
      <c r="O602" s="127"/>
      <c r="P602" s="127"/>
    </row>
    <row r="603">
      <c r="K603" s="126"/>
      <c r="O603" s="127"/>
      <c r="P603" s="127"/>
    </row>
    <row r="604">
      <c r="K604" s="126"/>
      <c r="O604" s="127"/>
      <c r="P604" s="127"/>
    </row>
    <row r="605">
      <c r="K605" s="126"/>
      <c r="O605" s="127"/>
      <c r="P605" s="127"/>
    </row>
    <row r="606">
      <c r="K606" s="126"/>
      <c r="O606" s="127"/>
      <c r="P606" s="127"/>
    </row>
    <row r="607">
      <c r="K607" s="126"/>
      <c r="O607" s="127"/>
      <c r="P607" s="127"/>
    </row>
    <row r="608">
      <c r="K608" s="126"/>
      <c r="O608" s="127"/>
      <c r="P608" s="127"/>
    </row>
    <row r="609">
      <c r="K609" s="126"/>
      <c r="O609" s="127"/>
      <c r="P609" s="127"/>
    </row>
    <row r="610">
      <c r="K610" s="126"/>
      <c r="O610" s="127"/>
      <c r="P610" s="127"/>
    </row>
    <row r="611">
      <c r="K611" s="126"/>
      <c r="O611" s="127"/>
      <c r="P611" s="127"/>
    </row>
    <row r="612">
      <c r="K612" s="126"/>
      <c r="O612" s="127"/>
      <c r="P612" s="127"/>
    </row>
    <row r="613">
      <c r="K613" s="126"/>
      <c r="O613" s="127"/>
      <c r="P613" s="127"/>
    </row>
    <row r="614">
      <c r="K614" s="126"/>
      <c r="O614" s="127"/>
      <c r="P614" s="127"/>
    </row>
    <row r="615">
      <c r="K615" s="126"/>
      <c r="O615" s="127"/>
      <c r="P615" s="127"/>
    </row>
    <row r="616">
      <c r="K616" s="126"/>
      <c r="O616" s="127"/>
      <c r="P616" s="127"/>
    </row>
    <row r="617">
      <c r="K617" s="126"/>
      <c r="O617" s="127"/>
      <c r="P617" s="127"/>
    </row>
    <row r="618">
      <c r="K618" s="126"/>
      <c r="O618" s="127"/>
      <c r="P618" s="127"/>
    </row>
    <row r="619">
      <c r="K619" s="126"/>
      <c r="O619" s="127"/>
      <c r="P619" s="127"/>
    </row>
    <row r="620">
      <c r="K620" s="126"/>
      <c r="O620" s="127"/>
      <c r="P620" s="127"/>
    </row>
    <row r="621">
      <c r="K621" s="126"/>
      <c r="O621" s="127"/>
      <c r="P621" s="127"/>
    </row>
    <row r="622">
      <c r="K622" s="126"/>
      <c r="O622" s="127"/>
      <c r="P622" s="127"/>
    </row>
    <row r="623">
      <c r="K623" s="126"/>
      <c r="O623" s="127"/>
      <c r="P623" s="127"/>
    </row>
    <row r="624">
      <c r="K624" s="126"/>
      <c r="O624" s="127"/>
      <c r="P624" s="127"/>
    </row>
    <row r="625">
      <c r="K625" s="126"/>
      <c r="O625" s="127"/>
      <c r="P625" s="127"/>
    </row>
    <row r="626">
      <c r="K626" s="126"/>
      <c r="O626" s="127"/>
      <c r="P626" s="127"/>
    </row>
    <row r="627">
      <c r="K627" s="126"/>
      <c r="O627" s="127"/>
      <c r="P627" s="127"/>
    </row>
    <row r="628">
      <c r="K628" s="126"/>
      <c r="O628" s="127"/>
      <c r="P628" s="127"/>
    </row>
    <row r="629">
      <c r="K629" s="126"/>
      <c r="O629" s="127"/>
      <c r="P629" s="127"/>
    </row>
    <row r="630">
      <c r="K630" s="126"/>
      <c r="O630" s="127"/>
      <c r="P630" s="127"/>
    </row>
    <row r="631">
      <c r="K631" s="126"/>
      <c r="O631" s="127"/>
      <c r="P631" s="127"/>
    </row>
    <row r="632">
      <c r="K632" s="126"/>
      <c r="O632" s="127"/>
      <c r="P632" s="127"/>
    </row>
    <row r="633">
      <c r="K633" s="126"/>
      <c r="O633" s="127"/>
      <c r="P633" s="127"/>
    </row>
    <row r="634">
      <c r="K634" s="126"/>
      <c r="O634" s="127"/>
      <c r="P634" s="127"/>
    </row>
    <row r="635">
      <c r="K635" s="126"/>
      <c r="O635" s="127"/>
      <c r="P635" s="127"/>
    </row>
    <row r="636">
      <c r="K636" s="126"/>
      <c r="O636" s="127"/>
      <c r="P636" s="127"/>
    </row>
    <row r="637">
      <c r="K637" s="126"/>
      <c r="O637" s="127"/>
      <c r="P637" s="127"/>
    </row>
    <row r="638">
      <c r="K638" s="126"/>
      <c r="O638" s="127"/>
      <c r="P638" s="127"/>
    </row>
    <row r="639">
      <c r="K639" s="126"/>
      <c r="O639" s="127"/>
      <c r="P639" s="127"/>
    </row>
    <row r="640">
      <c r="K640" s="126"/>
      <c r="O640" s="127"/>
      <c r="P640" s="127"/>
    </row>
    <row r="641">
      <c r="K641" s="126"/>
      <c r="O641" s="127"/>
      <c r="P641" s="127"/>
    </row>
    <row r="642">
      <c r="K642" s="126"/>
      <c r="O642" s="127"/>
      <c r="P642" s="127"/>
    </row>
    <row r="643">
      <c r="K643" s="126"/>
      <c r="O643" s="127"/>
      <c r="P643" s="127"/>
    </row>
    <row r="644">
      <c r="K644" s="126"/>
      <c r="O644" s="127"/>
      <c r="P644" s="127"/>
    </row>
    <row r="645">
      <c r="K645" s="126"/>
      <c r="O645" s="127"/>
      <c r="P645" s="127"/>
    </row>
    <row r="646">
      <c r="K646" s="126"/>
      <c r="O646" s="127"/>
      <c r="P646" s="127"/>
    </row>
    <row r="647">
      <c r="K647" s="126"/>
      <c r="O647" s="127"/>
      <c r="P647" s="127"/>
    </row>
    <row r="648">
      <c r="K648" s="126"/>
      <c r="O648" s="127"/>
      <c r="P648" s="127"/>
    </row>
    <row r="649">
      <c r="K649" s="126"/>
      <c r="O649" s="127"/>
      <c r="P649" s="127"/>
    </row>
    <row r="650">
      <c r="K650" s="126"/>
      <c r="O650" s="127"/>
      <c r="P650" s="127"/>
    </row>
    <row r="651">
      <c r="K651" s="126"/>
      <c r="O651" s="127"/>
      <c r="P651" s="127"/>
    </row>
    <row r="652">
      <c r="K652" s="126"/>
      <c r="O652" s="127"/>
      <c r="P652" s="127"/>
    </row>
    <row r="653">
      <c r="K653" s="126"/>
      <c r="O653" s="127"/>
      <c r="P653" s="127"/>
    </row>
    <row r="654">
      <c r="K654" s="126"/>
      <c r="O654" s="127"/>
      <c r="P654" s="127"/>
    </row>
    <row r="655">
      <c r="K655" s="126"/>
      <c r="O655" s="127"/>
      <c r="P655" s="127"/>
    </row>
    <row r="656">
      <c r="K656" s="126"/>
      <c r="O656" s="127"/>
      <c r="P656" s="127"/>
    </row>
    <row r="657">
      <c r="K657" s="126"/>
      <c r="O657" s="127"/>
      <c r="P657" s="127"/>
    </row>
    <row r="658">
      <c r="K658" s="126"/>
      <c r="O658" s="127"/>
      <c r="P658" s="127"/>
    </row>
    <row r="659">
      <c r="K659" s="126"/>
      <c r="O659" s="127"/>
      <c r="P659" s="127"/>
    </row>
    <row r="660">
      <c r="K660" s="126"/>
      <c r="O660" s="127"/>
      <c r="P660" s="127"/>
    </row>
    <row r="661">
      <c r="K661" s="126"/>
      <c r="O661" s="127"/>
      <c r="P661" s="127"/>
    </row>
    <row r="662">
      <c r="K662" s="126"/>
      <c r="O662" s="127"/>
      <c r="P662" s="127"/>
    </row>
    <row r="663">
      <c r="K663" s="126"/>
      <c r="O663" s="127"/>
      <c r="P663" s="127"/>
    </row>
    <row r="664">
      <c r="K664" s="126"/>
      <c r="O664" s="127"/>
      <c r="P664" s="127"/>
    </row>
    <row r="665">
      <c r="K665" s="126"/>
      <c r="O665" s="127"/>
      <c r="P665" s="127"/>
    </row>
    <row r="666">
      <c r="K666" s="126"/>
      <c r="O666" s="127"/>
      <c r="P666" s="127"/>
    </row>
    <row r="667">
      <c r="K667" s="126"/>
      <c r="O667" s="127"/>
      <c r="P667" s="127"/>
    </row>
    <row r="668">
      <c r="K668" s="126"/>
      <c r="O668" s="127"/>
      <c r="P668" s="127"/>
    </row>
    <row r="669">
      <c r="K669" s="126"/>
      <c r="O669" s="127"/>
      <c r="P669" s="127"/>
    </row>
    <row r="670">
      <c r="K670" s="126"/>
      <c r="O670" s="127"/>
      <c r="P670" s="127"/>
    </row>
    <row r="671">
      <c r="K671" s="126"/>
      <c r="O671" s="127"/>
      <c r="P671" s="127"/>
    </row>
    <row r="672">
      <c r="K672" s="126"/>
      <c r="O672" s="127"/>
      <c r="P672" s="127"/>
    </row>
    <row r="673">
      <c r="K673" s="126"/>
      <c r="O673" s="127"/>
      <c r="P673" s="127"/>
    </row>
    <row r="674">
      <c r="K674" s="126"/>
      <c r="O674" s="127"/>
      <c r="P674" s="127"/>
    </row>
    <row r="675">
      <c r="K675" s="126"/>
      <c r="O675" s="127"/>
      <c r="P675" s="127"/>
    </row>
    <row r="676">
      <c r="K676" s="126"/>
      <c r="O676" s="127"/>
      <c r="P676" s="127"/>
    </row>
    <row r="677">
      <c r="K677" s="126"/>
      <c r="O677" s="127"/>
      <c r="P677" s="127"/>
    </row>
    <row r="678">
      <c r="K678" s="126"/>
      <c r="O678" s="127"/>
      <c r="P678" s="127"/>
    </row>
    <row r="679">
      <c r="K679" s="126"/>
      <c r="O679" s="127"/>
      <c r="P679" s="127"/>
    </row>
    <row r="680">
      <c r="K680" s="126"/>
      <c r="O680" s="127"/>
      <c r="P680" s="127"/>
    </row>
    <row r="681">
      <c r="K681" s="126"/>
      <c r="O681" s="127"/>
      <c r="P681" s="127"/>
    </row>
    <row r="682">
      <c r="K682" s="126"/>
      <c r="O682" s="127"/>
      <c r="P682" s="127"/>
    </row>
    <row r="683">
      <c r="K683" s="126"/>
      <c r="O683" s="127"/>
      <c r="P683" s="127"/>
    </row>
    <row r="684">
      <c r="K684" s="126"/>
      <c r="O684" s="127"/>
      <c r="P684" s="127"/>
    </row>
    <row r="685">
      <c r="K685" s="126"/>
      <c r="O685" s="127"/>
      <c r="P685" s="127"/>
    </row>
    <row r="686">
      <c r="K686" s="126"/>
      <c r="O686" s="127"/>
      <c r="P686" s="127"/>
    </row>
    <row r="687">
      <c r="K687" s="126"/>
      <c r="O687" s="127"/>
      <c r="P687" s="127"/>
    </row>
    <row r="688">
      <c r="K688" s="126"/>
      <c r="O688" s="127"/>
      <c r="P688" s="127"/>
    </row>
    <row r="689">
      <c r="K689" s="126"/>
      <c r="O689" s="127"/>
      <c r="P689" s="127"/>
    </row>
    <row r="690">
      <c r="K690" s="126"/>
      <c r="O690" s="127"/>
      <c r="P690" s="127"/>
    </row>
    <row r="691">
      <c r="K691" s="126"/>
      <c r="O691" s="127"/>
      <c r="P691" s="127"/>
    </row>
    <row r="692">
      <c r="K692" s="126"/>
      <c r="O692" s="127"/>
      <c r="P692" s="127"/>
    </row>
    <row r="693">
      <c r="K693" s="126"/>
      <c r="O693" s="127"/>
      <c r="P693" s="127"/>
    </row>
    <row r="694">
      <c r="K694" s="126"/>
      <c r="O694" s="127"/>
      <c r="P694" s="127"/>
    </row>
    <row r="695">
      <c r="K695" s="126"/>
      <c r="O695" s="127"/>
      <c r="P695" s="127"/>
    </row>
    <row r="696">
      <c r="K696" s="126"/>
      <c r="O696" s="127"/>
      <c r="P696" s="127"/>
    </row>
    <row r="697">
      <c r="K697" s="126"/>
      <c r="O697" s="127"/>
      <c r="P697" s="127"/>
    </row>
    <row r="698">
      <c r="K698" s="126"/>
      <c r="O698" s="127"/>
      <c r="P698" s="127"/>
    </row>
    <row r="699">
      <c r="K699" s="126"/>
      <c r="O699" s="127"/>
      <c r="P699" s="127"/>
    </row>
    <row r="700">
      <c r="K700" s="126"/>
      <c r="O700" s="127"/>
      <c r="P700" s="127"/>
    </row>
    <row r="701">
      <c r="K701" s="126"/>
      <c r="O701" s="127"/>
      <c r="P701" s="127"/>
    </row>
    <row r="702">
      <c r="K702" s="126"/>
      <c r="O702" s="127"/>
      <c r="P702" s="127"/>
    </row>
    <row r="703">
      <c r="K703" s="126"/>
      <c r="O703" s="127"/>
      <c r="P703" s="127"/>
    </row>
    <row r="704">
      <c r="K704" s="126"/>
      <c r="O704" s="127"/>
      <c r="P704" s="127"/>
    </row>
    <row r="705">
      <c r="K705" s="126"/>
      <c r="O705" s="127"/>
      <c r="P705" s="127"/>
    </row>
    <row r="706">
      <c r="K706" s="126"/>
      <c r="O706" s="127"/>
      <c r="P706" s="127"/>
    </row>
    <row r="707">
      <c r="K707" s="126"/>
      <c r="O707" s="127"/>
      <c r="P707" s="127"/>
    </row>
    <row r="708">
      <c r="K708" s="126"/>
      <c r="O708" s="127"/>
      <c r="P708" s="127"/>
    </row>
    <row r="709">
      <c r="K709" s="126"/>
      <c r="O709" s="127"/>
      <c r="P709" s="127"/>
    </row>
    <row r="710">
      <c r="K710" s="126"/>
      <c r="O710" s="127"/>
      <c r="P710" s="127"/>
    </row>
    <row r="711">
      <c r="K711" s="126"/>
      <c r="O711" s="127"/>
      <c r="P711" s="127"/>
    </row>
    <row r="712">
      <c r="K712" s="126"/>
      <c r="O712" s="127"/>
      <c r="P712" s="127"/>
    </row>
    <row r="713">
      <c r="K713" s="126"/>
      <c r="O713" s="127"/>
      <c r="P713" s="127"/>
    </row>
    <row r="714">
      <c r="K714" s="126"/>
      <c r="O714" s="127"/>
      <c r="P714" s="127"/>
    </row>
    <row r="715">
      <c r="K715" s="126"/>
      <c r="O715" s="127"/>
      <c r="P715" s="127"/>
    </row>
    <row r="716">
      <c r="K716" s="126"/>
      <c r="O716" s="127"/>
      <c r="P716" s="127"/>
    </row>
    <row r="717">
      <c r="K717" s="126"/>
      <c r="O717" s="127"/>
      <c r="P717" s="127"/>
    </row>
    <row r="718">
      <c r="K718" s="126"/>
      <c r="O718" s="127"/>
      <c r="P718" s="127"/>
    </row>
    <row r="719">
      <c r="K719" s="126"/>
      <c r="O719" s="127"/>
      <c r="P719" s="127"/>
    </row>
    <row r="720">
      <c r="K720" s="126"/>
      <c r="O720" s="127"/>
      <c r="P720" s="127"/>
    </row>
    <row r="721">
      <c r="K721" s="126"/>
      <c r="O721" s="127"/>
      <c r="P721" s="127"/>
    </row>
    <row r="722">
      <c r="K722" s="126"/>
      <c r="O722" s="127"/>
      <c r="P722" s="127"/>
    </row>
    <row r="723">
      <c r="K723" s="126"/>
      <c r="O723" s="127"/>
      <c r="P723" s="127"/>
    </row>
    <row r="724">
      <c r="K724" s="126"/>
      <c r="O724" s="127"/>
      <c r="P724" s="127"/>
    </row>
    <row r="725">
      <c r="K725" s="126"/>
      <c r="O725" s="127"/>
      <c r="P725" s="127"/>
    </row>
    <row r="726">
      <c r="K726" s="126"/>
      <c r="O726" s="127"/>
      <c r="P726" s="127"/>
    </row>
    <row r="727">
      <c r="K727" s="126"/>
      <c r="O727" s="127"/>
      <c r="P727" s="127"/>
    </row>
    <row r="728">
      <c r="K728" s="126"/>
      <c r="O728" s="127"/>
      <c r="P728" s="127"/>
    </row>
    <row r="729">
      <c r="K729" s="126"/>
      <c r="O729" s="127"/>
      <c r="P729" s="127"/>
    </row>
    <row r="730">
      <c r="K730" s="126"/>
      <c r="O730" s="127"/>
      <c r="P730" s="127"/>
    </row>
    <row r="731">
      <c r="K731" s="126"/>
      <c r="O731" s="127"/>
      <c r="P731" s="127"/>
    </row>
    <row r="732">
      <c r="K732" s="126"/>
      <c r="O732" s="127"/>
      <c r="P732" s="127"/>
    </row>
    <row r="733">
      <c r="K733" s="126"/>
      <c r="O733" s="127"/>
      <c r="P733" s="127"/>
    </row>
    <row r="734">
      <c r="K734" s="126"/>
      <c r="O734" s="127"/>
      <c r="P734" s="127"/>
    </row>
    <row r="735">
      <c r="K735" s="126"/>
      <c r="O735" s="127"/>
      <c r="P735" s="127"/>
    </row>
    <row r="736">
      <c r="K736" s="126"/>
      <c r="O736" s="127"/>
      <c r="P736" s="127"/>
    </row>
    <row r="737">
      <c r="K737" s="126"/>
      <c r="O737" s="127"/>
      <c r="P737" s="127"/>
    </row>
    <row r="738">
      <c r="K738" s="126"/>
      <c r="O738" s="127"/>
      <c r="P738" s="127"/>
    </row>
    <row r="739">
      <c r="K739" s="126"/>
      <c r="O739" s="127"/>
      <c r="P739" s="127"/>
    </row>
    <row r="740">
      <c r="K740" s="126"/>
      <c r="O740" s="127"/>
      <c r="P740" s="127"/>
    </row>
    <row r="741">
      <c r="K741" s="126"/>
      <c r="O741" s="127"/>
      <c r="P741" s="127"/>
    </row>
    <row r="742">
      <c r="K742" s="126"/>
      <c r="O742" s="127"/>
      <c r="P742" s="127"/>
    </row>
    <row r="743">
      <c r="K743" s="126"/>
      <c r="O743" s="127"/>
      <c r="P743" s="127"/>
    </row>
    <row r="744">
      <c r="K744" s="126"/>
      <c r="O744" s="127"/>
      <c r="P744" s="127"/>
    </row>
    <row r="745">
      <c r="K745" s="126"/>
      <c r="O745" s="127"/>
      <c r="P745" s="127"/>
    </row>
    <row r="746">
      <c r="K746" s="126"/>
      <c r="O746" s="127"/>
      <c r="P746" s="127"/>
    </row>
    <row r="747">
      <c r="K747" s="126"/>
      <c r="O747" s="127"/>
      <c r="P747" s="127"/>
    </row>
    <row r="748">
      <c r="K748" s="126"/>
      <c r="O748" s="127"/>
      <c r="P748" s="127"/>
    </row>
    <row r="749">
      <c r="K749" s="126"/>
      <c r="O749" s="127"/>
      <c r="P749" s="127"/>
    </row>
    <row r="750">
      <c r="K750" s="126"/>
      <c r="O750" s="127"/>
      <c r="P750" s="127"/>
    </row>
    <row r="751">
      <c r="K751" s="126"/>
      <c r="O751" s="127"/>
      <c r="P751" s="127"/>
    </row>
    <row r="752">
      <c r="K752" s="126"/>
      <c r="O752" s="127"/>
      <c r="P752" s="127"/>
    </row>
    <row r="753">
      <c r="K753" s="126"/>
      <c r="O753" s="127"/>
      <c r="P753" s="127"/>
    </row>
    <row r="754">
      <c r="K754" s="126"/>
      <c r="O754" s="127"/>
      <c r="P754" s="127"/>
    </row>
    <row r="755">
      <c r="K755" s="126"/>
      <c r="O755" s="127"/>
      <c r="P755" s="127"/>
    </row>
    <row r="756">
      <c r="K756" s="126"/>
      <c r="O756" s="127"/>
      <c r="P756" s="127"/>
    </row>
    <row r="757">
      <c r="K757" s="126"/>
      <c r="O757" s="127"/>
      <c r="P757" s="127"/>
    </row>
    <row r="758">
      <c r="K758" s="126"/>
      <c r="O758" s="127"/>
      <c r="P758" s="127"/>
    </row>
    <row r="759">
      <c r="K759" s="126"/>
      <c r="O759" s="127"/>
      <c r="P759" s="127"/>
    </row>
    <row r="760">
      <c r="K760" s="126"/>
      <c r="O760" s="127"/>
      <c r="P760" s="127"/>
    </row>
    <row r="761">
      <c r="K761" s="126"/>
      <c r="O761" s="127"/>
      <c r="P761" s="127"/>
    </row>
    <row r="762">
      <c r="K762" s="126"/>
      <c r="O762" s="127"/>
      <c r="P762" s="127"/>
    </row>
    <row r="763">
      <c r="K763" s="126"/>
      <c r="O763" s="127"/>
      <c r="P763" s="127"/>
    </row>
    <row r="764">
      <c r="K764" s="126"/>
      <c r="O764" s="127"/>
      <c r="P764" s="127"/>
    </row>
    <row r="765">
      <c r="K765" s="126"/>
      <c r="O765" s="127"/>
      <c r="P765" s="127"/>
    </row>
    <row r="766">
      <c r="K766" s="126"/>
      <c r="O766" s="127"/>
      <c r="P766" s="127"/>
    </row>
    <row r="767">
      <c r="K767" s="126"/>
      <c r="O767" s="127"/>
      <c r="P767" s="127"/>
    </row>
    <row r="768">
      <c r="K768" s="126"/>
      <c r="O768" s="127"/>
      <c r="P768" s="127"/>
    </row>
    <row r="769">
      <c r="K769" s="126"/>
      <c r="O769" s="127"/>
      <c r="P769" s="127"/>
    </row>
    <row r="770">
      <c r="K770" s="126"/>
      <c r="O770" s="127"/>
      <c r="P770" s="127"/>
    </row>
    <row r="771">
      <c r="K771" s="126"/>
      <c r="O771" s="127"/>
      <c r="P771" s="127"/>
    </row>
    <row r="772">
      <c r="K772" s="126"/>
      <c r="O772" s="127"/>
      <c r="P772" s="127"/>
    </row>
    <row r="773">
      <c r="K773" s="126"/>
      <c r="O773" s="127"/>
      <c r="P773" s="127"/>
    </row>
    <row r="774">
      <c r="K774" s="126"/>
      <c r="O774" s="127"/>
      <c r="P774" s="127"/>
    </row>
    <row r="775">
      <c r="K775" s="126"/>
      <c r="O775" s="127"/>
      <c r="P775" s="127"/>
    </row>
    <row r="776">
      <c r="K776" s="126"/>
      <c r="O776" s="127"/>
      <c r="P776" s="127"/>
    </row>
    <row r="777">
      <c r="K777" s="126"/>
      <c r="O777" s="127"/>
      <c r="P777" s="127"/>
    </row>
    <row r="778">
      <c r="K778" s="126"/>
      <c r="O778" s="127"/>
      <c r="P778" s="127"/>
    </row>
    <row r="779">
      <c r="K779" s="126"/>
      <c r="O779" s="127"/>
      <c r="P779" s="127"/>
    </row>
    <row r="780">
      <c r="K780" s="126"/>
      <c r="O780" s="127"/>
      <c r="P780" s="127"/>
    </row>
    <row r="781">
      <c r="K781" s="126"/>
      <c r="O781" s="127"/>
      <c r="P781" s="127"/>
    </row>
    <row r="782">
      <c r="K782" s="126"/>
      <c r="O782" s="127"/>
      <c r="P782" s="127"/>
    </row>
    <row r="783">
      <c r="K783" s="126"/>
      <c r="O783" s="127"/>
      <c r="P783" s="127"/>
    </row>
    <row r="784">
      <c r="K784" s="126"/>
      <c r="O784" s="127"/>
      <c r="P784" s="127"/>
    </row>
    <row r="785">
      <c r="K785" s="126"/>
      <c r="O785" s="127"/>
      <c r="P785" s="127"/>
    </row>
    <row r="786">
      <c r="K786" s="126"/>
      <c r="O786" s="127"/>
      <c r="P786" s="127"/>
    </row>
    <row r="787">
      <c r="K787" s="126"/>
      <c r="O787" s="127"/>
      <c r="P787" s="127"/>
    </row>
    <row r="788">
      <c r="K788" s="126"/>
      <c r="O788" s="127"/>
      <c r="P788" s="127"/>
    </row>
    <row r="789">
      <c r="K789" s="126"/>
      <c r="O789" s="127"/>
      <c r="P789" s="127"/>
    </row>
    <row r="790">
      <c r="K790" s="126"/>
      <c r="O790" s="127"/>
      <c r="P790" s="127"/>
    </row>
    <row r="791">
      <c r="K791" s="126"/>
      <c r="O791" s="127"/>
      <c r="P791" s="127"/>
    </row>
    <row r="792">
      <c r="K792" s="126"/>
      <c r="O792" s="127"/>
      <c r="P792" s="127"/>
    </row>
    <row r="793">
      <c r="K793" s="126"/>
      <c r="O793" s="127"/>
      <c r="P793" s="127"/>
    </row>
    <row r="794">
      <c r="K794" s="126"/>
      <c r="O794" s="127"/>
      <c r="P794" s="127"/>
    </row>
    <row r="795">
      <c r="K795" s="126"/>
      <c r="O795" s="127"/>
      <c r="P795" s="127"/>
    </row>
    <row r="796">
      <c r="K796" s="126"/>
      <c r="O796" s="127"/>
      <c r="P796" s="127"/>
    </row>
    <row r="797">
      <c r="K797" s="126"/>
      <c r="O797" s="127"/>
      <c r="P797" s="127"/>
    </row>
    <row r="798">
      <c r="K798" s="126"/>
      <c r="O798" s="127"/>
      <c r="P798" s="127"/>
    </row>
    <row r="799">
      <c r="K799" s="126"/>
      <c r="O799" s="127"/>
      <c r="P799" s="127"/>
    </row>
    <row r="800">
      <c r="K800" s="126"/>
      <c r="O800" s="127"/>
      <c r="P800" s="127"/>
    </row>
    <row r="801">
      <c r="K801" s="126"/>
      <c r="O801" s="127"/>
      <c r="P801" s="127"/>
    </row>
    <row r="802">
      <c r="K802" s="126"/>
      <c r="O802" s="127"/>
      <c r="P802" s="127"/>
    </row>
    <row r="803">
      <c r="K803" s="126"/>
      <c r="O803" s="127"/>
      <c r="P803" s="127"/>
    </row>
    <row r="804">
      <c r="K804" s="126"/>
      <c r="O804" s="127"/>
      <c r="P804" s="127"/>
    </row>
    <row r="805">
      <c r="K805" s="126"/>
      <c r="O805" s="127"/>
      <c r="P805" s="127"/>
    </row>
    <row r="806">
      <c r="K806" s="126"/>
      <c r="O806" s="127"/>
      <c r="P806" s="127"/>
    </row>
    <row r="807">
      <c r="K807" s="126"/>
      <c r="O807" s="127"/>
      <c r="P807" s="127"/>
    </row>
    <row r="808">
      <c r="K808" s="126"/>
      <c r="O808" s="127"/>
      <c r="P808" s="127"/>
    </row>
    <row r="809">
      <c r="K809" s="126"/>
      <c r="O809" s="127"/>
      <c r="P809" s="127"/>
    </row>
    <row r="810">
      <c r="K810" s="126"/>
      <c r="O810" s="127"/>
      <c r="P810" s="127"/>
    </row>
    <row r="811">
      <c r="K811" s="126"/>
      <c r="O811" s="127"/>
      <c r="P811" s="127"/>
    </row>
    <row r="812">
      <c r="K812" s="126"/>
      <c r="O812" s="127"/>
      <c r="P812" s="127"/>
    </row>
    <row r="813">
      <c r="K813" s="126"/>
      <c r="O813" s="127"/>
      <c r="P813" s="127"/>
    </row>
    <row r="814">
      <c r="K814" s="126"/>
      <c r="O814" s="127"/>
      <c r="P814" s="127"/>
    </row>
    <row r="815">
      <c r="K815" s="126"/>
      <c r="O815" s="127"/>
      <c r="P815" s="127"/>
    </row>
    <row r="816">
      <c r="K816" s="126"/>
      <c r="O816" s="127"/>
      <c r="P816" s="127"/>
    </row>
    <row r="817">
      <c r="K817" s="126"/>
      <c r="O817" s="127"/>
      <c r="P817" s="127"/>
    </row>
    <row r="818">
      <c r="K818" s="126"/>
      <c r="O818" s="127"/>
      <c r="P818" s="127"/>
    </row>
    <row r="819">
      <c r="K819" s="126"/>
      <c r="O819" s="127"/>
      <c r="P819" s="127"/>
    </row>
    <row r="820">
      <c r="K820" s="126"/>
      <c r="O820" s="127"/>
      <c r="P820" s="127"/>
    </row>
    <row r="821">
      <c r="K821" s="126"/>
      <c r="O821" s="127"/>
      <c r="P821" s="127"/>
    </row>
    <row r="822">
      <c r="K822" s="126"/>
      <c r="O822" s="127"/>
      <c r="P822" s="127"/>
    </row>
    <row r="823">
      <c r="K823" s="126"/>
      <c r="O823" s="127"/>
      <c r="P823" s="127"/>
    </row>
    <row r="824">
      <c r="K824" s="126"/>
      <c r="O824" s="127"/>
      <c r="P824" s="127"/>
    </row>
    <row r="825">
      <c r="K825" s="126"/>
      <c r="O825" s="127"/>
      <c r="P825" s="127"/>
    </row>
    <row r="826">
      <c r="K826" s="126"/>
      <c r="O826" s="127"/>
      <c r="P826" s="127"/>
    </row>
    <row r="827">
      <c r="K827" s="126"/>
      <c r="O827" s="127"/>
      <c r="P827" s="127"/>
    </row>
    <row r="828">
      <c r="K828" s="126"/>
      <c r="O828" s="127"/>
      <c r="P828" s="127"/>
    </row>
    <row r="829">
      <c r="K829" s="126"/>
      <c r="O829" s="127"/>
      <c r="P829" s="127"/>
    </row>
    <row r="830">
      <c r="K830" s="126"/>
      <c r="O830" s="127"/>
      <c r="P830" s="127"/>
    </row>
    <row r="831">
      <c r="K831" s="126"/>
      <c r="O831" s="127"/>
      <c r="P831" s="127"/>
    </row>
    <row r="832">
      <c r="K832" s="126"/>
      <c r="O832" s="127"/>
      <c r="P832" s="127"/>
    </row>
    <row r="833">
      <c r="K833" s="126"/>
      <c r="O833" s="127"/>
      <c r="P833" s="127"/>
    </row>
    <row r="834">
      <c r="K834" s="126"/>
      <c r="O834" s="127"/>
      <c r="P834" s="127"/>
    </row>
    <row r="835">
      <c r="K835" s="126"/>
      <c r="O835" s="127"/>
      <c r="P835" s="127"/>
    </row>
    <row r="836">
      <c r="K836" s="126"/>
      <c r="O836" s="127"/>
      <c r="P836" s="127"/>
    </row>
    <row r="837">
      <c r="K837" s="126"/>
      <c r="O837" s="127"/>
      <c r="P837" s="127"/>
    </row>
    <row r="838">
      <c r="K838" s="126"/>
      <c r="O838" s="127"/>
      <c r="P838" s="127"/>
    </row>
    <row r="839">
      <c r="K839" s="126"/>
      <c r="O839" s="127"/>
      <c r="P839" s="127"/>
    </row>
    <row r="840">
      <c r="K840" s="126"/>
      <c r="O840" s="127"/>
      <c r="P840" s="127"/>
    </row>
    <row r="841">
      <c r="K841" s="126"/>
      <c r="O841" s="127"/>
      <c r="P841" s="127"/>
    </row>
    <row r="842">
      <c r="K842" s="126"/>
      <c r="O842" s="127"/>
      <c r="P842" s="127"/>
    </row>
    <row r="843">
      <c r="K843" s="126"/>
      <c r="O843" s="127"/>
      <c r="P843" s="127"/>
    </row>
    <row r="844">
      <c r="K844" s="126"/>
      <c r="O844" s="127"/>
      <c r="P844" s="127"/>
    </row>
    <row r="845">
      <c r="K845" s="126"/>
      <c r="O845" s="127"/>
      <c r="P845" s="127"/>
    </row>
    <row r="846">
      <c r="K846" s="126"/>
      <c r="O846" s="127"/>
      <c r="P846" s="127"/>
    </row>
    <row r="847">
      <c r="K847" s="126"/>
      <c r="O847" s="127"/>
      <c r="P847" s="127"/>
    </row>
    <row r="848">
      <c r="K848" s="126"/>
      <c r="O848" s="127"/>
      <c r="P848" s="127"/>
    </row>
    <row r="849">
      <c r="K849" s="126"/>
      <c r="O849" s="127"/>
      <c r="P849" s="127"/>
    </row>
    <row r="850">
      <c r="K850" s="126"/>
      <c r="O850" s="127"/>
      <c r="P850" s="127"/>
    </row>
    <row r="851">
      <c r="K851" s="126"/>
      <c r="O851" s="127"/>
      <c r="P851" s="127"/>
    </row>
    <row r="852">
      <c r="K852" s="126"/>
      <c r="O852" s="127"/>
      <c r="P852" s="127"/>
    </row>
    <row r="853">
      <c r="K853" s="126"/>
      <c r="O853" s="127"/>
      <c r="P853" s="127"/>
    </row>
    <row r="854">
      <c r="K854" s="126"/>
      <c r="O854" s="127"/>
      <c r="P854" s="127"/>
    </row>
    <row r="855">
      <c r="K855" s="126"/>
      <c r="O855" s="127"/>
      <c r="P855" s="127"/>
    </row>
    <row r="856">
      <c r="K856" s="126"/>
      <c r="O856" s="127"/>
      <c r="P856" s="127"/>
    </row>
    <row r="857">
      <c r="K857" s="126"/>
      <c r="O857" s="127"/>
      <c r="P857" s="127"/>
    </row>
    <row r="858">
      <c r="K858" s="126"/>
      <c r="O858" s="127"/>
      <c r="P858" s="127"/>
    </row>
    <row r="859">
      <c r="K859" s="126"/>
      <c r="O859" s="127"/>
      <c r="P859" s="127"/>
    </row>
    <row r="860">
      <c r="K860" s="126"/>
      <c r="O860" s="127"/>
      <c r="P860" s="127"/>
    </row>
    <row r="861">
      <c r="K861" s="126"/>
      <c r="O861" s="127"/>
      <c r="P861" s="127"/>
    </row>
    <row r="862">
      <c r="K862" s="126"/>
      <c r="O862" s="127"/>
      <c r="P862" s="127"/>
    </row>
    <row r="863">
      <c r="K863" s="126"/>
      <c r="O863" s="127"/>
      <c r="P863" s="127"/>
    </row>
    <row r="864">
      <c r="K864" s="126"/>
      <c r="O864" s="127"/>
      <c r="P864" s="127"/>
    </row>
    <row r="865">
      <c r="K865" s="126"/>
      <c r="O865" s="127"/>
      <c r="P865" s="127"/>
    </row>
    <row r="866">
      <c r="K866" s="126"/>
      <c r="O866" s="127"/>
      <c r="P866" s="127"/>
    </row>
    <row r="867">
      <c r="K867" s="126"/>
      <c r="O867" s="127"/>
      <c r="P867" s="127"/>
    </row>
    <row r="868">
      <c r="K868" s="126"/>
      <c r="O868" s="127"/>
      <c r="P868" s="127"/>
    </row>
    <row r="869">
      <c r="K869" s="126"/>
      <c r="O869" s="127"/>
      <c r="P869" s="127"/>
    </row>
    <row r="870">
      <c r="K870" s="126"/>
      <c r="O870" s="127"/>
      <c r="P870" s="127"/>
    </row>
    <row r="871">
      <c r="K871" s="126"/>
      <c r="O871" s="127"/>
      <c r="P871" s="127"/>
    </row>
    <row r="872">
      <c r="K872" s="126"/>
      <c r="O872" s="127"/>
      <c r="P872" s="127"/>
    </row>
    <row r="873">
      <c r="K873" s="126"/>
      <c r="O873" s="127"/>
      <c r="P873" s="127"/>
    </row>
    <row r="874">
      <c r="K874" s="126"/>
      <c r="O874" s="127"/>
      <c r="P874" s="127"/>
    </row>
    <row r="875">
      <c r="K875" s="126"/>
      <c r="O875" s="127"/>
      <c r="P875" s="127"/>
    </row>
    <row r="876">
      <c r="K876" s="126"/>
      <c r="O876" s="127"/>
      <c r="P876" s="127"/>
    </row>
    <row r="877">
      <c r="K877" s="126"/>
      <c r="O877" s="127"/>
      <c r="P877" s="127"/>
    </row>
    <row r="878">
      <c r="K878" s="126"/>
      <c r="O878" s="127"/>
      <c r="P878" s="127"/>
    </row>
    <row r="879">
      <c r="K879" s="126"/>
      <c r="O879" s="127"/>
      <c r="P879" s="127"/>
    </row>
    <row r="880">
      <c r="K880" s="126"/>
      <c r="O880" s="127"/>
      <c r="P880" s="127"/>
    </row>
    <row r="881">
      <c r="K881" s="126"/>
      <c r="O881" s="127"/>
      <c r="P881" s="127"/>
    </row>
    <row r="882">
      <c r="K882" s="126"/>
      <c r="O882" s="127"/>
      <c r="P882" s="127"/>
    </row>
    <row r="883">
      <c r="K883" s="126"/>
      <c r="O883" s="127"/>
      <c r="P883" s="127"/>
    </row>
    <row r="884">
      <c r="K884" s="126"/>
      <c r="O884" s="127"/>
      <c r="P884" s="127"/>
    </row>
    <row r="885">
      <c r="K885" s="126"/>
      <c r="O885" s="127"/>
      <c r="P885" s="127"/>
    </row>
    <row r="886">
      <c r="K886" s="126"/>
      <c r="O886" s="127"/>
      <c r="P886" s="127"/>
    </row>
    <row r="887">
      <c r="K887" s="126"/>
      <c r="O887" s="127"/>
      <c r="P887" s="127"/>
    </row>
    <row r="888">
      <c r="K888" s="126"/>
      <c r="O888" s="127"/>
      <c r="P888" s="127"/>
    </row>
    <row r="889">
      <c r="K889" s="126"/>
      <c r="O889" s="127"/>
      <c r="P889" s="127"/>
    </row>
    <row r="890">
      <c r="K890" s="126"/>
      <c r="O890" s="127"/>
      <c r="P890" s="127"/>
    </row>
    <row r="891">
      <c r="K891" s="126"/>
      <c r="O891" s="127"/>
      <c r="P891" s="127"/>
    </row>
    <row r="892">
      <c r="K892" s="126"/>
      <c r="O892" s="127"/>
      <c r="P892" s="127"/>
    </row>
    <row r="893">
      <c r="K893" s="126"/>
      <c r="O893" s="127"/>
      <c r="P893" s="127"/>
    </row>
    <row r="894">
      <c r="K894" s="126"/>
      <c r="O894" s="127"/>
      <c r="P894" s="127"/>
    </row>
    <row r="895">
      <c r="K895" s="126"/>
      <c r="O895" s="127"/>
      <c r="P895" s="127"/>
    </row>
    <row r="896">
      <c r="K896" s="126"/>
      <c r="O896" s="127"/>
      <c r="P896" s="127"/>
    </row>
    <row r="897">
      <c r="K897" s="126"/>
      <c r="O897" s="127"/>
      <c r="P897" s="127"/>
    </row>
    <row r="898">
      <c r="K898" s="126"/>
      <c r="O898" s="127"/>
      <c r="P898" s="127"/>
    </row>
    <row r="899">
      <c r="K899" s="126"/>
      <c r="O899" s="127"/>
      <c r="P899" s="127"/>
    </row>
    <row r="900">
      <c r="K900" s="126"/>
      <c r="O900" s="127"/>
      <c r="P900" s="127"/>
    </row>
    <row r="901">
      <c r="K901" s="126"/>
      <c r="O901" s="127"/>
      <c r="P901" s="127"/>
    </row>
    <row r="902">
      <c r="K902" s="126"/>
      <c r="O902" s="127"/>
      <c r="P902" s="127"/>
    </row>
    <row r="903">
      <c r="K903" s="126"/>
      <c r="O903" s="127"/>
      <c r="P903" s="127"/>
    </row>
    <row r="904">
      <c r="K904" s="126"/>
      <c r="O904" s="127"/>
      <c r="P904" s="127"/>
    </row>
    <row r="905">
      <c r="K905" s="126"/>
      <c r="O905" s="127"/>
      <c r="P905" s="127"/>
    </row>
    <row r="906">
      <c r="K906" s="126"/>
      <c r="O906" s="127"/>
      <c r="P906" s="127"/>
    </row>
    <row r="907">
      <c r="K907" s="126"/>
      <c r="O907" s="127"/>
      <c r="P907" s="127"/>
    </row>
    <row r="908">
      <c r="K908" s="126"/>
      <c r="O908" s="127"/>
      <c r="P908" s="127"/>
    </row>
    <row r="909">
      <c r="K909" s="126"/>
      <c r="O909" s="127"/>
      <c r="P909" s="127"/>
    </row>
    <row r="910">
      <c r="K910" s="126"/>
      <c r="O910" s="127"/>
      <c r="P910" s="127"/>
    </row>
    <row r="911">
      <c r="K911" s="126"/>
      <c r="O911" s="127"/>
      <c r="P911" s="127"/>
    </row>
    <row r="912">
      <c r="K912" s="126"/>
      <c r="O912" s="127"/>
      <c r="P912" s="127"/>
    </row>
    <row r="913">
      <c r="K913" s="126"/>
      <c r="O913" s="127"/>
      <c r="P913" s="127"/>
    </row>
    <row r="914">
      <c r="K914" s="126"/>
      <c r="O914" s="127"/>
      <c r="P914" s="127"/>
    </row>
    <row r="915">
      <c r="K915" s="126"/>
      <c r="O915" s="127"/>
      <c r="P915" s="127"/>
    </row>
    <row r="916">
      <c r="K916" s="126"/>
      <c r="O916" s="127"/>
      <c r="P916" s="127"/>
    </row>
    <row r="917">
      <c r="K917" s="126"/>
      <c r="O917" s="127"/>
      <c r="P917" s="127"/>
    </row>
    <row r="918">
      <c r="K918" s="126"/>
      <c r="O918" s="127"/>
      <c r="P918" s="127"/>
    </row>
    <row r="919">
      <c r="K919" s="126"/>
      <c r="O919" s="127"/>
      <c r="P919" s="127"/>
    </row>
    <row r="920">
      <c r="K920" s="126"/>
      <c r="O920" s="127"/>
      <c r="P920" s="127"/>
    </row>
    <row r="921">
      <c r="K921" s="126"/>
      <c r="O921" s="127"/>
      <c r="P921" s="127"/>
    </row>
    <row r="922">
      <c r="K922" s="126"/>
      <c r="O922" s="127"/>
      <c r="P922" s="127"/>
    </row>
    <row r="923">
      <c r="K923" s="126"/>
      <c r="O923" s="127"/>
      <c r="P923" s="127"/>
    </row>
    <row r="924">
      <c r="K924" s="126"/>
      <c r="O924" s="127"/>
      <c r="P924" s="127"/>
    </row>
    <row r="925">
      <c r="K925" s="126"/>
      <c r="O925" s="127"/>
      <c r="P925" s="127"/>
    </row>
    <row r="926">
      <c r="K926" s="126"/>
      <c r="O926" s="127"/>
      <c r="P926" s="127"/>
    </row>
    <row r="927">
      <c r="K927" s="126"/>
      <c r="O927" s="127"/>
      <c r="P927" s="127"/>
    </row>
    <row r="928">
      <c r="K928" s="126"/>
      <c r="O928" s="127"/>
      <c r="P928" s="127"/>
    </row>
    <row r="929">
      <c r="K929" s="126"/>
      <c r="O929" s="127"/>
      <c r="P929" s="127"/>
    </row>
    <row r="930">
      <c r="K930" s="126"/>
      <c r="O930" s="127"/>
      <c r="P930" s="127"/>
    </row>
    <row r="931">
      <c r="K931" s="126"/>
      <c r="O931" s="127"/>
      <c r="P931" s="127"/>
    </row>
    <row r="932">
      <c r="K932" s="126"/>
      <c r="O932" s="127"/>
      <c r="P932" s="127"/>
    </row>
    <row r="933">
      <c r="K933" s="126"/>
      <c r="O933" s="127"/>
      <c r="P933" s="127"/>
    </row>
    <row r="934">
      <c r="K934" s="126"/>
      <c r="O934" s="127"/>
      <c r="P934" s="127"/>
    </row>
    <row r="935">
      <c r="K935" s="126"/>
      <c r="O935" s="127"/>
      <c r="P935" s="127"/>
    </row>
    <row r="936">
      <c r="K936" s="126"/>
      <c r="O936" s="127"/>
      <c r="P936" s="127"/>
    </row>
    <row r="937">
      <c r="K937" s="126"/>
      <c r="O937" s="127"/>
      <c r="P937" s="127"/>
    </row>
    <row r="938">
      <c r="K938" s="126"/>
      <c r="O938" s="127"/>
      <c r="P938" s="127"/>
    </row>
    <row r="939">
      <c r="K939" s="126"/>
      <c r="O939" s="127"/>
      <c r="P939" s="127"/>
    </row>
    <row r="940">
      <c r="K940" s="126"/>
      <c r="O940" s="127"/>
      <c r="P940" s="127"/>
    </row>
    <row r="941">
      <c r="K941" s="126"/>
      <c r="O941" s="127"/>
      <c r="P941" s="127"/>
    </row>
    <row r="942">
      <c r="K942" s="126"/>
      <c r="O942" s="127"/>
      <c r="P942" s="127"/>
    </row>
    <row r="943">
      <c r="K943" s="126"/>
      <c r="O943" s="127"/>
      <c r="P943" s="127"/>
    </row>
    <row r="944">
      <c r="K944" s="126"/>
      <c r="O944" s="127"/>
      <c r="P944" s="127"/>
    </row>
    <row r="945">
      <c r="K945" s="126"/>
      <c r="O945" s="127"/>
      <c r="P945" s="127"/>
    </row>
    <row r="946">
      <c r="K946" s="126"/>
      <c r="O946" s="127"/>
      <c r="P946" s="127"/>
    </row>
    <row r="947">
      <c r="K947" s="126"/>
      <c r="O947" s="127"/>
      <c r="P947" s="127"/>
    </row>
    <row r="948">
      <c r="K948" s="126"/>
      <c r="O948" s="127"/>
      <c r="P948" s="127"/>
    </row>
    <row r="949">
      <c r="K949" s="126"/>
      <c r="O949" s="127"/>
      <c r="P949" s="127"/>
    </row>
    <row r="950">
      <c r="K950" s="126"/>
      <c r="O950" s="127"/>
      <c r="P950" s="127"/>
    </row>
    <row r="951">
      <c r="K951" s="126"/>
      <c r="O951" s="127"/>
      <c r="P951" s="127"/>
    </row>
    <row r="952">
      <c r="K952" s="126"/>
      <c r="O952" s="127"/>
      <c r="P952" s="127"/>
    </row>
    <row r="953">
      <c r="K953" s="126"/>
      <c r="O953" s="127"/>
      <c r="P953" s="127"/>
    </row>
    <row r="954">
      <c r="K954" s="126"/>
      <c r="O954" s="127"/>
      <c r="P954" s="127"/>
    </row>
    <row r="955">
      <c r="K955" s="126"/>
      <c r="O955" s="127"/>
      <c r="P955" s="127"/>
    </row>
    <row r="956">
      <c r="K956" s="126"/>
      <c r="O956" s="127"/>
      <c r="P956" s="127"/>
    </row>
    <row r="957">
      <c r="K957" s="126"/>
      <c r="O957" s="127"/>
      <c r="P957" s="127"/>
    </row>
    <row r="958">
      <c r="K958" s="126"/>
      <c r="O958" s="127"/>
      <c r="P958" s="127"/>
    </row>
    <row r="959">
      <c r="K959" s="126"/>
      <c r="O959" s="127"/>
      <c r="P959" s="127"/>
    </row>
    <row r="960">
      <c r="K960" s="126"/>
      <c r="O960" s="127"/>
      <c r="P960" s="127"/>
    </row>
    <row r="961">
      <c r="K961" s="126"/>
      <c r="O961" s="127"/>
      <c r="P961" s="127"/>
    </row>
    <row r="962">
      <c r="K962" s="126"/>
      <c r="O962" s="127"/>
      <c r="P962" s="127"/>
    </row>
    <row r="963">
      <c r="K963" s="126"/>
      <c r="O963" s="127"/>
      <c r="P963" s="127"/>
    </row>
    <row r="964">
      <c r="K964" s="126"/>
      <c r="O964" s="127"/>
      <c r="P964" s="127"/>
    </row>
    <row r="965">
      <c r="K965" s="126"/>
      <c r="O965" s="127"/>
      <c r="P965" s="127"/>
    </row>
    <row r="966">
      <c r="K966" s="126"/>
      <c r="O966" s="127"/>
      <c r="P966" s="127"/>
    </row>
    <row r="967">
      <c r="K967" s="126"/>
      <c r="O967" s="127"/>
      <c r="P967" s="127"/>
    </row>
    <row r="968">
      <c r="K968" s="126"/>
      <c r="O968" s="127"/>
      <c r="P968" s="127"/>
    </row>
    <row r="969">
      <c r="K969" s="126"/>
      <c r="O969" s="127"/>
      <c r="P969" s="127"/>
    </row>
    <row r="970">
      <c r="K970" s="126"/>
      <c r="O970" s="127"/>
      <c r="P970" s="127"/>
    </row>
    <row r="971">
      <c r="K971" s="126"/>
      <c r="O971" s="127"/>
      <c r="P971" s="127"/>
    </row>
    <row r="972">
      <c r="K972" s="126"/>
      <c r="O972" s="127"/>
      <c r="P972" s="127"/>
    </row>
    <row r="973">
      <c r="K973" s="126"/>
      <c r="O973" s="127"/>
      <c r="P973" s="127"/>
    </row>
    <row r="974">
      <c r="K974" s="126"/>
      <c r="O974" s="127"/>
      <c r="P974" s="127"/>
    </row>
    <row r="975">
      <c r="K975" s="126"/>
      <c r="O975" s="127"/>
      <c r="P975" s="127"/>
    </row>
    <row r="976">
      <c r="K976" s="126"/>
      <c r="O976" s="127"/>
      <c r="P976" s="127"/>
    </row>
    <row r="977">
      <c r="K977" s="126"/>
      <c r="O977" s="127"/>
      <c r="P977" s="127"/>
    </row>
    <row r="978">
      <c r="K978" s="126"/>
      <c r="O978" s="127"/>
      <c r="P978" s="127"/>
    </row>
    <row r="979">
      <c r="K979" s="126"/>
      <c r="O979" s="127"/>
      <c r="P979" s="127"/>
    </row>
    <row r="980">
      <c r="K980" s="126"/>
      <c r="O980" s="127"/>
      <c r="P980" s="127"/>
    </row>
    <row r="981">
      <c r="K981" s="126"/>
      <c r="O981" s="127"/>
      <c r="P981" s="127"/>
    </row>
    <row r="982">
      <c r="K982" s="126"/>
      <c r="O982" s="127"/>
      <c r="P982" s="127"/>
    </row>
    <row r="983">
      <c r="K983" s="126"/>
      <c r="O983" s="127"/>
      <c r="P983" s="127"/>
    </row>
    <row r="984">
      <c r="K984" s="126"/>
      <c r="O984" s="127"/>
      <c r="P984" s="127"/>
    </row>
    <row r="985">
      <c r="K985" s="126"/>
      <c r="O985" s="127"/>
      <c r="P985" s="127"/>
    </row>
    <row r="986">
      <c r="K986" s="126"/>
      <c r="O986" s="127"/>
      <c r="P986" s="127"/>
    </row>
    <row r="987">
      <c r="K987" s="126"/>
      <c r="O987" s="127"/>
      <c r="P987" s="127"/>
    </row>
    <row r="988">
      <c r="K988" s="126"/>
      <c r="O988" s="127"/>
      <c r="P988" s="127"/>
    </row>
    <row r="989">
      <c r="K989" s="126"/>
      <c r="O989" s="127"/>
      <c r="P989" s="127"/>
    </row>
    <row r="990">
      <c r="K990" s="126"/>
      <c r="O990" s="127"/>
      <c r="P990" s="127"/>
    </row>
    <row r="991">
      <c r="K991" s="126"/>
      <c r="O991" s="127"/>
      <c r="P991" s="127"/>
    </row>
    <row r="992">
      <c r="K992" s="126"/>
      <c r="O992" s="127"/>
      <c r="P992" s="127"/>
    </row>
    <row r="993">
      <c r="K993" s="126"/>
      <c r="O993" s="127"/>
      <c r="P993" s="127"/>
    </row>
  </sheetData>
  <mergeCells count="12">
    <mergeCell ref="R34:R45"/>
    <mergeCell ref="S34:S45"/>
    <mergeCell ref="Q46:Q60"/>
    <mergeCell ref="R46:R60"/>
    <mergeCell ref="S46:S60"/>
    <mergeCell ref="Q5:Q27"/>
    <mergeCell ref="R5:R27"/>
    <mergeCell ref="S5:S27"/>
    <mergeCell ref="Q29:Q33"/>
    <mergeCell ref="R29:R33"/>
    <mergeCell ref="S29:S33"/>
    <mergeCell ref="Q34:Q45"/>
  </mergeCells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63"/>
    <col customWidth="1" min="12" max="12" width="15.25"/>
    <col customWidth="1" min="15" max="15" width="23.63"/>
    <col customWidth="1" min="16" max="16" width="14.63"/>
    <col customWidth="1" min="17" max="17" width="14.0"/>
    <col customWidth="1" min="18" max="18" width="13.25"/>
    <col customWidth="1" min="19" max="19" width="51.63"/>
  </cols>
  <sheetData>
    <row r="1">
      <c r="A1" s="2" t="s">
        <v>1</v>
      </c>
      <c r="B1" s="1"/>
      <c r="D1" s="3" t="s">
        <v>2</v>
      </c>
      <c r="E1" s="3" t="s">
        <v>3</v>
      </c>
      <c r="F1" s="3" t="s">
        <v>5</v>
      </c>
      <c r="G1" s="3" t="s">
        <v>6</v>
      </c>
      <c r="H1" s="3" t="s">
        <v>7</v>
      </c>
      <c r="I1" s="6" t="s">
        <v>9</v>
      </c>
      <c r="K1" s="10" t="s">
        <v>815</v>
      </c>
      <c r="L1" s="10"/>
      <c r="M1" s="10"/>
      <c r="N1" s="10"/>
      <c r="O1" s="10"/>
      <c r="P1" s="10"/>
      <c r="Q1" s="10"/>
      <c r="R1" s="10"/>
      <c r="S1" s="10"/>
    </row>
    <row r="2">
      <c r="A2" s="1" t="s">
        <v>21</v>
      </c>
      <c r="B2" s="2" t="s">
        <v>448</v>
      </c>
      <c r="D2" s="12"/>
      <c r="E2" s="12"/>
      <c r="F2" s="12"/>
      <c r="G2" s="12"/>
      <c r="H2" s="12"/>
      <c r="I2" s="12"/>
      <c r="K2" s="6" t="s">
        <v>8</v>
      </c>
      <c r="L2" s="6" t="s">
        <v>27</v>
      </c>
      <c r="M2" s="6" t="s">
        <v>28</v>
      </c>
      <c r="N2" s="6" t="s">
        <v>30</v>
      </c>
      <c r="O2" s="6" t="s">
        <v>25</v>
      </c>
      <c r="P2" s="6" t="s">
        <v>24</v>
      </c>
      <c r="Q2" s="6" t="s">
        <v>36</v>
      </c>
      <c r="R2" s="6" t="s">
        <v>35</v>
      </c>
      <c r="S2" s="6" t="s">
        <v>33</v>
      </c>
    </row>
    <row r="3">
      <c r="A3" s="1" t="s">
        <v>40</v>
      </c>
      <c r="B3" s="2" t="s">
        <v>102</v>
      </c>
      <c r="D3" s="12"/>
      <c r="E3" s="12"/>
      <c r="F3" s="12"/>
      <c r="G3" s="12"/>
      <c r="H3" s="12"/>
      <c r="I3" s="12"/>
      <c r="K3" s="51">
        <v>46056.0</v>
      </c>
      <c r="L3" s="21"/>
      <c r="M3" s="19"/>
      <c r="N3" s="19"/>
      <c r="O3" s="19" t="s">
        <v>817</v>
      </c>
      <c r="P3" s="19"/>
      <c r="Q3" s="19" t="s">
        <v>818</v>
      </c>
      <c r="R3" s="19" t="s">
        <v>819</v>
      </c>
      <c r="S3" s="19" t="s">
        <v>820</v>
      </c>
    </row>
    <row r="4">
      <c r="A4" s="1" t="s">
        <v>50</v>
      </c>
      <c r="B4" s="2" t="s">
        <v>172</v>
      </c>
      <c r="D4" s="12"/>
      <c r="E4" s="12"/>
      <c r="F4" s="12"/>
      <c r="G4" s="12"/>
      <c r="H4" s="12"/>
      <c r="I4" s="12"/>
      <c r="K4" s="13">
        <v>46058.0</v>
      </c>
      <c r="L4" s="21"/>
      <c r="M4" s="19"/>
      <c r="N4" s="19"/>
      <c r="O4" s="27" t="s">
        <v>821</v>
      </c>
      <c r="P4" s="27"/>
      <c r="Q4" s="27" t="s">
        <v>818</v>
      </c>
      <c r="R4" s="19" t="s">
        <v>822</v>
      </c>
      <c r="S4" s="19" t="s">
        <v>823</v>
      </c>
    </row>
    <row r="5">
      <c r="A5" s="1" t="s">
        <v>66</v>
      </c>
      <c r="B5" s="2" t="s">
        <v>824</v>
      </c>
      <c r="D5" s="12"/>
      <c r="E5" s="12"/>
      <c r="F5" s="12"/>
      <c r="G5" s="12"/>
      <c r="H5" s="12"/>
      <c r="I5" s="12"/>
      <c r="K5" s="13">
        <v>46059.0</v>
      </c>
      <c r="L5" s="21"/>
      <c r="M5" s="19"/>
      <c r="N5" s="19"/>
      <c r="O5" s="27" t="s">
        <v>821</v>
      </c>
      <c r="P5" s="27"/>
      <c r="Q5" s="27" t="s">
        <v>818</v>
      </c>
      <c r="R5" s="19" t="s">
        <v>822</v>
      </c>
      <c r="S5" s="19" t="s">
        <v>825</v>
      </c>
    </row>
    <row r="6">
      <c r="A6" s="1" t="s">
        <v>70</v>
      </c>
      <c r="B6" s="2" t="s">
        <v>827</v>
      </c>
      <c r="D6" s="12"/>
      <c r="E6" s="12"/>
      <c r="F6" s="12"/>
      <c r="G6" s="12"/>
      <c r="H6" s="12"/>
      <c r="I6" s="12"/>
      <c r="K6" s="13">
        <v>46062.0</v>
      </c>
      <c r="L6" s="21"/>
      <c r="M6" s="19"/>
      <c r="N6" s="19"/>
      <c r="O6" s="27" t="s">
        <v>618</v>
      </c>
      <c r="P6" s="27"/>
      <c r="Q6" s="27" t="s">
        <v>829</v>
      </c>
      <c r="R6" s="19" t="s">
        <v>830</v>
      </c>
      <c r="S6" s="19" t="s">
        <v>831</v>
      </c>
    </row>
    <row r="7">
      <c r="K7" s="13">
        <v>46071.0</v>
      </c>
      <c r="L7" s="21"/>
      <c r="M7" s="19"/>
      <c r="N7" s="19"/>
      <c r="O7" s="27" t="s">
        <v>832</v>
      </c>
      <c r="P7" s="27"/>
      <c r="Q7" s="27" t="s">
        <v>818</v>
      </c>
      <c r="R7" s="19" t="s">
        <v>833</v>
      </c>
      <c r="S7" s="19" t="s">
        <v>834</v>
      </c>
    </row>
    <row r="8">
      <c r="A8" s="6" t="s">
        <v>8</v>
      </c>
      <c r="B8" s="6" t="s">
        <v>84</v>
      </c>
      <c r="C8" s="6" t="s">
        <v>25</v>
      </c>
      <c r="D8" s="6" t="s">
        <v>86</v>
      </c>
      <c r="E8" s="6" t="s">
        <v>87</v>
      </c>
      <c r="G8" s="6" t="s">
        <v>8</v>
      </c>
      <c r="H8" s="6" t="s">
        <v>13</v>
      </c>
      <c r="I8" s="6" t="s">
        <v>88</v>
      </c>
      <c r="K8" s="13">
        <v>46072.0</v>
      </c>
      <c r="L8" s="21"/>
      <c r="M8" s="19"/>
      <c r="N8" s="19"/>
      <c r="O8" s="27" t="s">
        <v>835</v>
      </c>
      <c r="P8" s="27"/>
      <c r="Q8" s="27" t="s">
        <v>818</v>
      </c>
      <c r="R8" s="19" t="s">
        <v>836</v>
      </c>
      <c r="S8" s="19" t="s">
        <v>837</v>
      </c>
    </row>
    <row r="9">
      <c r="A9" s="13">
        <v>46107.0</v>
      </c>
      <c r="B9" s="12"/>
      <c r="C9" s="21" t="s">
        <v>838</v>
      </c>
      <c r="D9" s="21" t="s">
        <v>509</v>
      </c>
      <c r="E9" s="21" t="s">
        <v>510</v>
      </c>
      <c r="G9" s="97">
        <v>46071.0</v>
      </c>
      <c r="H9" s="21">
        <v>2263.0</v>
      </c>
      <c r="I9" s="21">
        <v>48.3</v>
      </c>
      <c r="K9" s="13">
        <v>46073.0</v>
      </c>
      <c r="L9" s="21"/>
      <c r="M9" s="19"/>
      <c r="N9" s="19"/>
      <c r="O9" s="27" t="s">
        <v>835</v>
      </c>
      <c r="P9" s="27"/>
      <c r="Q9" s="27" t="s">
        <v>818</v>
      </c>
      <c r="R9" s="19" t="s">
        <v>836</v>
      </c>
      <c r="S9" s="19" t="s">
        <v>839</v>
      </c>
    </row>
    <row r="10">
      <c r="A10" s="13">
        <v>46178.0</v>
      </c>
      <c r="B10" s="12"/>
      <c r="C10" s="21" t="s">
        <v>840</v>
      </c>
      <c r="D10" s="21" t="s">
        <v>509</v>
      </c>
      <c r="E10" s="21" t="s">
        <v>510</v>
      </c>
      <c r="G10" s="97">
        <v>46072.0</v>
      </c>
      <c r="H10" s="21">
        <v>2300.0</v>
      </c>
      <c r="I10" s="21">
        <v>44.6</v>
      </c>
      <c r="K10" s="13">
        <v>46076.0</v>
      </c>
      <c r="L10" s="21"/>
      <c r="M10" s="19"/>
      <c r="N10" s="19"/>
      <c r="O10" s="27" t="s">
        <v>618</v>
      </c>
      <c r="P10" s="27"/>
      <c r="Q10" s="27" t="s">
        <v>818</v>
      </c>
      <c r="R10" s="19" t="s">
        <v>841</v>
      </c>
      <c r="S10" s="19" t="s">
        <v>842</v>
      </c>
    </row>
    <row r="11">
      <c r="A11" s="13">
        <v>46234.0</v>
      </c>
      <c r="B11" s="12"/>
      <c r="C11" s="21" t="s">
        <v>843</v>
      </c>
      <c r="D11" s="21" t="s">
        <v>509</v>
      </c>
      <c r="E11" s="21" t="s">
        <v>510</v>
      </c>
      <c r="G11" s="97">
        <v>46073.0</v>
      </c>
      <c r="H11" s="21">
        <v>2346.0</v>
      </c>
      <c r="I11" s="21">
        <v>39.95</v>
      </c>
      <c r="K11" s="13">
        <v>46077.0</v>
      </c>
      <c r="L11" s="21" t="s">
        <v>485</v>
      </c>
      <c r="M11" s="19">
        <v>-96.0</v>
      </c>
      <c r="N11" s="19">
        <v>7398.01</v>
      </c>
      <c r="O11" s="27" t="s">
        <v>844</v>
      </c>
      <c r="P11" s="27"/>
      <c r="Q11" s="27" t="s">
        <v>818</v>
      </c>
      <c r="R11" s="19" t="s">
        <v>845</v>
      </c>
      <c r="S11" s="19" t="s">
        <v>846</v>
      </c>
    </row>
    <row r="12">
      <c r="A12" s="12"/>
      <c r="B12" s="12"/>
      <c r="C12" s="12"/>
      <c r="D12" s="12"/>
      <c r="E12" s="12"/>
      <c r="G12" s="97">
        <v>46076.0</v>
      </c>
      <c r="H12" s="21">
        <v>2552.0</v>
      </c>
      <c r="I12" s="21">
        <v>50.4</v>
      </c>
      <c r="K12" s="13">
        <v>46078.0</v>
      </c>
      <c r="L12" s="21"/>
      <c r="M12" s="19"/>
      <c r="N12" s="19"/>
      <c r="O12" s="27" t="s">
        <v>844</v>
      </c>
      <c r="P12" s="27"/>
      <c r="Q12" s="27" t="s">
        <v>818</v>
      </c>
      <c r="R12" s="19" t="s">
        <v>845</v>
      </c>
      <c r="S12" s="19" t="s">
        <v>846</v>
      </c>
    </row>
    <row r="13">
      <c r="A13" s="12"/>
      <c r="B13" s="12"/>
      <c r="C13" s="12"/>
      <c r="D13" s="12"/>
      <c r="E13" s="12"/>
      <c r="G13" s="97">
        <v>46077.0</v>
      </c>
      <c r="H13" s="21">
        <v>2630.0</v>
      </c>
      <c r="I13" s="21">
        <v>42.6</v>
      </c>
      <c r="K13" s="13">
        <v>46079.0</v>
      </c>
      <c r="L13" s="21"/>
      <c r="M13" s="19"/>
      <c r="N13" s="19"/>
      <c r="O13" s="27" t="s">
        <v>487</v>
      </c>
      <c r="P13" s="27"/>
      <c r="Q13" s="27" t="s">
        <v>818</v>
      </c>
      <c r="R13" s="19" t="s">
        <v>487</v>
      </c>
      <c r="S13" s="19" t="s">
        <v>847</v>
      </c>
    </row>
    <row r="14">
      <c r="A14" s="12"/>
      <c r="B14" s="12"/>
      <c r="C14" s="12"/>
      <c r="D14" s="12"/>
      <c r="E14" s="12"/>
      <c r="G14" s="97">
        <v>46078.0</v>
      </c>
      <c r="H14" s="21">
        <v>2717.0</v>
      </c>
      <c r="I14" s="21">
        <v>33.9</v>
      </c>
      <c r="K14" s="13">
        <v>46080.0</v>
      </c>
      <c r="L14" s="21"/>
      <c r="M14" s="19"/>
      <c r="N14" s="19"/>
      <c r="O14" s="27" t="s">
        <v>487</v>
      </c>
      <c r="P14" s="27"/>
      <c r="Q14" s="27" t="s">
        <v>818</v>
      </c>
      <c r="R14" s="19" t="s">
        <v>487</v>
      </c>
      <c r="S14" s="19" t="s">
        <v>847</v>
      </c>
    </row>
    <row r="15">
      <c r="A15" s="12"/>
      <c r="B15" s="12"/>
      <c r="C15" s="12"/>
      <c r="D15" s="12"/>
      <c r="E15" s="12"/>
      <c r="G15" s="97">
        <v>46079.0</v>
      </c>
      <c r="H15" s="21">
        <v>2717.0</v>
      </c>
      <c r="I15" s="21">
        <v>33.9</v>
      </c>
      <c r="K15" s="13">
        <v>46083.0</v>
      </c>
      <c r="L15" s="21"/>
      <c r="M15" s="19"/>
      <c r="N15" s="19"/>
      <c r="O15" s="27" t="s">
        <v>487</v>
      </c>
      <c r="P15" s="27" t="s">
        <v>849</v>
      </c>
      <c r="Q15" s="27" t="s">
        <v>818</v>
      </c>
      <c r="R15" s="19" t="s">
        <v>487</v>
      </c>
      <c r="S15" s="19" t="s">
        <v>850</v>
      </c>
    </row>
    <row r="16">
      <c r="A16" s="12"/>
      <c r="B16" s="12"/>
      <c r="C16" s="12"/>
      <c r="D16" s="12"/>
      <c r="E16" s="12"/>
      <c r="G16" s="97">
        <v>46080.0</v>
      </c>
      <c r="H16" s="21">
        <v>2717.0</v>
      </c>
      <c r="I16" s="21">
        <v>33.9</v>
      </c>
      <c r="K16" s="13">
        <v>46084.0</v>
      </c>
      <c r="L16" s="21" t="s">
        <v>485</v>
      </c>
      <c r="M16" s="19">
        <v>-543.0</v>
      </c>
      <c r="N16" s="19">
        <v>6855.01</v>
      </c>
      <c r="O16" s="27" t="s">
        <v>618</v>
      </c>
      <c r="P16" s="27" t="s">
        <v>851</v>
      </c>
      <c r="Q16" s="27" t="s">
        <v>852</v>
      </c>
      <c r="R16" s="19" t="s">
        <v>853</v>
      </c>
      <c r="S16" s="19" t="s">
        <v>854</v>
      </c>
    </row>
    <row r="17">
      <c r="A17" s="12"/>
      <c r="B17" s="12"/>
      <c r="C17" s="12"/>
      <c r="D17" s="12"/>
      <c r="E17" s="12"/>
      <c r="G17" s="98">
        <v>46083.0</v>
      </c>
      <c r="H17" s="21">
        <v>2717.0</v>
      </c>
      <c r="I17" s="21">
        <v>33.9</v>
      </c>
      <c r="K17" s="13">
        <v>46085.0</v>
      </c>
      <c r="L17" s="21"/>
      <c r="M17" s="19"/>
      <c r="N17" s="19"/>
      <c r="O17" s="27" t="s">
        <v>618</v>
      </c>
      <c r="P17" s="27" t="s">
        <v>855</v>
      </c>
      <c r="Q17" s="27" t="s">
        <v>818</v>
      </c>
      <c r="R17" s="19" t="s">
        <v>853</v>
      </c>
      <c r="S17" s="19" t="s">
        <v>488</v>
      </c>
    </row>
    <row r="18">
      <c r="A18" s="12"/>
      <c r="B18" s="12"/>
      <c r="C18" s="12"/>
      <c r="D18" s="12"/>
      <c r="E18" s="12"/>
      <c r="G18" s="98">
        <v>46084.0</v>
      </c>
      <c r="H18" s="21">
        <v>2841.0</v>
      </c>
      <c r="I18" s="21">
        <v>21.5</v>
      </c>
      <c r="K18" s="13">
        <v>46086.0</v>
      </c>
      <c r="L18" s="21"/>
      <c r="M18" s="19"/>
      <c r="N18" s="19"/>
      <c r="O18" s="27" t="s">
        <v>832</v>
      </c>
      <c r="P18" s="27" t="s">
        <v>856</v>
      </c>
      <c r="Q18" s="27" t="s">
        <v>818</v>
      </c>
      <c r="R18" s="19" t="s">
        <v>833</v>
      </c>
      <c r="S18" s="19" t="s">
        <v>857</v>
      </c>
    </row>
    <row r="19">
      <c r="A19" s="12"/>
      <c r="B19" s="12"/>
      <c r="C19" s="12"/>
      <c r="D19" s="12"/>
      <c r="E19" s="12"/>
      <c r="G19" s="98">
        <v>46085.0</v>
      </c>
      <c r="H19" s="21">
        <v>3037.0</v>
      </c>
      <c r="I19" s="21">
        <v>53.91</v>
      </c>
      <c r="K19" s="13">
        <v>46087.0</v>
      </c>
      <c r="L19" s="21"/>
      <c r="M19" s="19"/>
      <c r="N19" s="19"/>
      <c r="O19" s="27" t="s">
        <v>618</v>
      </c>
      <c r="P19" s="27" t="s">
        <v>858</v>
      </c>
      <c r="Q19" s="27" t="s">
        <v>818</v>
      </c>
      <c r="R19" s="19" t="s">
        <v>859</v>
      </c>
      <c r="S19" s="19" t="s">
        <v>860</v>
      </c>
    </row>
    <row r="20">
      <c r="A20" s="12"/>
      <c r="B20" s="12"/>
      <c r="C20" s="12"/>
      <c r="D20" s="12"/>
      <c r="E20" s="12"/>
      <c r="G20" s="98">
        <v>46086.0</v>
      </c>
      <c r="H20" s="21">
        <v>3211.0</v>
      </c>
      <c r="I20" s="21">
        <v>36.51</v>
      </c>
      <c r="K20" s="13">
        <v>46090.0</v>
      </c>
      <c r="L20" s="21"/>
      <c r="M20" s="19"/>
      <c r="N20" s="19"/>
      <c r="O20" s="27" t="s">
        <v>618</v>
      </c>
      <c r="P20" s="27" t="s">
        <v>861</v>
      </c>
      <c r="Q20" s="27" t="s">
        <v>818</v>
      </c>
      <c r="R20" s="19" t="s">
        <v>853</v>
      </c>
      <c r="S20" s="19" t="s">
        <v>488</v>
      </c>
    </row>
    <row r="21">
      <c r="A21" s="12"/>
      <c r="B21" s="12"/>
      <c r="C21" s="12"/>
      <c r="D21" s="12"/>
      <c r="E21" s="12"/>
      <c r="G21" s="98">
        <v>46087.0</v>
      </c>
      <c r="H21" s="21">
        <v>3358.0</v>
      </c>
      <c r="I21" s="21">
        <v>63.11</v>
      </c>
      <c r="K21" s="13">
        <v>46091.0</v>
      </c>
      <c r="L21" s="21" t="s">
        <v>485</v>
      </c>
      <c r="M21" s="19">
        <v>-345.0</v>
      </c>
      <c r="N21" s="19">
        <v>6510.01</v>
      </c>
      <c r="O21" s="27" t="s">
        <v>618</v>
      </c>
      <c r="P21" s="27" t="s">
        <v>862</v>
      </c>
      <c r="Q21" s="27" t="s">
        <v>863</v>
      </c>
      <c r="R21" s="19"/>
      <c r="S21" s="19" t="s">
        <v>864</v>
      </c>
    </row>
    <row r="22">
      <c r="A22" s="12"/>
      <c r="B22" s="12"/>
      <c r="C22" s="12"/>
      <c r="D22" s="12"/>
      <c r="E22" s="12"/>
      <c r="G22" s="98">
        <v>46090.0</v>
      </c>
      <c r="H22" s="21">
        <v>3485.0</v>
      </c>
      <c r="I22" s="21">
        <v>50.41</v>
      </c>
      <c r="K22" s="13">
        <v>46092.0</v>
      </c>
      <c r="L22" s="21" t="s">
        <v>485</v>
      </c>
      <c r="M22" s="19">
        <v>-76.0</v>
      </c>
      <c r="N22" s="19">
        <v>6434.01</v>
      </c>
      <c r="O22" s="27" t="s">
        <v>844</v>
      </c>
      <c r="P22" s="27" t="s">
        <v>866</v>
      </c>
      <c r="Q22" s="27" t="s">
        <v>818</v>
      </c>
      <c r="R22" s="19" t="s">
        <v>845</v>
      </c>
      <c r="S22" s="19" t="s">
        <v>867</v>
      </c>
    </row>
    <row r="23">
      <c r="A23" s="12"/>
      <c r="B23" s="12"/>
      <c r="C23" s="12"/>
      <c r="D23" s="12"/>
      <c r="E23" s="12"/>
      <c r="G23" s="97">
        <v>46091.0</v>
      </c>
      <c r="H23" s="21">
        <v>3705.0</v>
      </c>
      <c r="I23" s="21">
        <v>28.41</v>
      </c>
      <c r="K23" s="13">
        <v>46093.0</v>
      </c>
      <c r="L23" s="21"/>
      <c r="M23" s="19"/>
      <c r="N23" s="19"/>
      <c r="O23" s="27" t="s">
        <v>618</v>
      </c>
      <c r="P23" s="27" t="s">
        <v>868</v>
      </c>
      <c r="Q23" s="27" t="s">
        <v>818</v>
      </c>
      <c r="R23" s="99" t="s">
        <v>853</v>
      </c>
      <c r="S23" s="100" t="s">
        <v>488</v>
      </c>
    </row>
    <row r="24">
      <c r="A24" s="12"/>
      <c r="B24" s="12"/>
      <c r="C24" s="12"/>
      <c r="D24" s="12"/>
      <c r="E24" s="12"/>
      <c r="G24" s="97">
        <v>46092.0</v>
      </c>
      <c r="H24" s="21">
        <v>3788.0</v>
      </c>
      <c r="I24" s="21">
        <v>20.21</v>
      </c>
      <c r="K24" s="13">
        <v>46097.0</v>
      </c>
      <c r="L24" s="21" t="s">
        <v>485</v>
      </c>
      <c r="M24" s="19">
        <v>-419.0</v>
      </c>
      <c r="N24" s="19">
        <v>6015.01</v>
      </c>
      <c r="O24" s="27" t="s">
        <v>618</v>
      </c>
      <c r="P24" s="27" t="s">
        <v>871</v>
      </c>
      <c r="Q24" s="27" t="s">
        <v>818</v>
      </c>
      <c r="R24" s="37"/>
      <c r="S24" s="37"/>
    </row>
    <row r="25">
      <c r="A25" s="12"/>
      <c r="B25" s="12"/>
      <c r="C25" s="12"/>
      <c r="D25" s="12"/>
      <c r="E25" s="12"/>
      <c r="G25" s="97">
        <v>46093.0</v>
      </c>
      <c r="H25" s="21">
        <v>3925.0</v>
      </c>
      <c r="I25" s="21">
        <v>6.51</v>
      </c>
      <c r="K25" s="13">
        <v>46098.0</v>
      </c>
      <c r="L25" s="21" t="s">
        <v>485</v>
      </c>
      <c r="M25" s="19">
        <v>-307.0</v>
      </c>
      <c r="N25" s="19">
        <v>5708.01</v>
      </c>
      <c r="O25" s="27" t="s">
        <v>618</v>
      </c>
      <c r="P25" s="27" t="s">
        <v>872</v>
      </c>
      <c r="Q25" s="27" t="s">
        <v>818</v>
      </c>
      <c r="R25" s="40"/>
      <c r="S25" s="40"/>
    </row>
    <row r="26">
      <c r="A26" s="12"/>
      <c r="B26" s="12"/>
      <c r="C26" s="12"/>
      <c r="D26" s="12"/>
      <c r="E26" s="12"/>
      <c r="G26" s="97">
        <v>46097.0</v>
      </c>
      <c r="H26" s="21">
        <v>4066.0</v>
      </c>
      <c r="I26" s="21">
        <v>41.87</v>
      </c>
      <c r="K26" s="13">
        <v>46099.0</v>
      </c>
      <c r="L26" s="21" t="s">
        <v>485</v>
      </c>
      <c r="M26" s="19">
        <v>-325.0</v>
      </c>
      <c r="N26" s="19">
        <v>5383.01</v>
      </c>
      <c r="O26" s="27" t="s">
        <v>618</v>
      </c>
      <c r="P26" s="27" t="s">
        <v>873</v>
      </c>
      <c r="Q26" s="27" t="s">
        <v>818</v>
      </c>
      <c r="R26" s="19" t="s">
        <v>874</v>
      </c>
      <c r="S26" s="19" t="s">
        <v>875</v>
      </c>
    </row>
    <row r="27">
      <c r="A27" s="12"/>
      <c r="B27" s="12"/>
      <c r="C27" s="12"/>
      <c r="D27" s="12"/>
      <c r="E27" s="12"/>
      <c r="G27" s="97">
        <v>46098.0</v>
      </c>
      <c r="H27" s="21">
        <v>4219.0</v>
      </c>
      <c r="I27" s="21">
        <v>26.57</v>
      </c>
      <c r="K27" s="13">
        <v>46100.0</v>
      </c>
      <c r="L27" s="21"/>
      <c r="M27" s="19"/>
      <c r="N27" s="19"/>
      <c r="O27" s="27" t="s">
        <v>618</v>
      </c>
      <c r="P27" s="27" t="s">
        <v>876</v>
      </c>
      <c r="Q27" s="27" t="s">
        <v>818</v>
      </c>
      <c r="R27" s="19" t="s">
        <v>877</v>
      </c>
      <c r="S27" s="19" t="s">
        <v>878</v>
      </c>
    </row>
    <row r="28">
      <c r="A28" s="12"/>
      <c r="B28" s="12"/>
      <c r="C28" s="12"/>
      <c r="D28" s="12"/>
      <c r="E28" s="12"/>
      <c r="G28" s="97">
        <v>46099.0</v>
      </c>
      <c r="H28" s="21">
        <v>4390.0</v>
      </c>
      <c r="I28" s="21">
        <v>9.47</v>
      </c>
      <c r="K28" s="13">
        <v>46104.0</v>
      </c>
      <c r="L28" s="21" t="s">
        <v>485</v>
      </c>
      <c r="M28" s="19">
        <v>-896.0</v>
      </c>
      <c r="N28" s="19">
        <v>4487.01</v>
      </c>
      <c r="O28" s="27" t="s">
        <v>881</v>
      </c>
      <c r="P28" s="27" t="s">
        <v>882</v>
      </c>
      <c r="Q28" s="27" t="s">
        <v>883</v>
      </c>
      <c r="R28" s="19" t="s">
        <v>884</v>
      </c>
      <c r="S28" s="19" t="s">
        <v>885</v>
      </c>
    </row>
    <row r="29">
      <c r="G29" s="97">
        <v>46100.0</v>
      </c>
      <c r="H29" s="21">
        <v>4526.0</v>
      </c>
      <c r="I29" s="21">
        <v>17.4</v>
      </c>
      <c r="K29" s="13">
        <v>46105.0</v>
      </c>
      <c r="L29" s="21"/>
      <c r="M29" s="19"/>
      <c r="N29" s="19"/>
      <c r="O29" s="27" t="s">
        <v>618</v>
      </c>
      <c r="P29" s="27" t="s">
        <v>887</v>
      </c>
      <c r="Q29" s="27" t="s">
        <v>818</v>
      </c>
      <c r="R29" s="19" t="s">
        <v>853</v>
      </c>
      <c r="S29" s="19" t="s">
        <v>488</v>
      </c>
    </row>
    <row r="30">
      <c r="G30" s="97">
        <v>46104.0</v>
      </c>
      <c r="H30" s="21">
        <v>4810.0</v>
      </c>
      <c r="I30" s="21">
        <v>38.5</v>
      </c>
      <c r="K30" s="13">
        <v>46106.0</v>
      </c>
      <c r="L30" s="21"/>
      <c r="M30" s="19"/>
      <c r="N30" s="19"/>
      <c r="O30" s="27" t="s">
        <v>618</v>
      </c>
      <c r="P30" s="27" t="s">
        <v>888</v>
      </c>
      <c r="Q30" s="27" t="s">
        <v>818</v>
      </c>
      <c r="R30" s="19" t="s">
        <v>889</v>
      </c>
      <c r="S30" s="19" t="s">
        <v>890</v>
      </c>
    </row>
    <row r="31">
      <c r="G31" s="97">
        <v>46105.0</v>
      </c>
      <c r="H31" s="21">
        <v>4933.0</v>
      </c>
      <c r="I31" s="21">
        <v>26.2</v>
      </c>
      <c r="K31" s="13">
        <v>46107.0</v>
      </c>
      <c r="L31" s="21" t="s">
        <v>485</v>
      </c>
      <c r="M31" s="19">
        <v>-300.0</v>
      </c>
      <c r="N31" s="19">
        <v>4191.01</v>
      </c>
      <c r="O31" s="27" t="s">
        <v>891</v>
      </c>
      <c r="P31" s="27" t="s">
        <v>892</v>
      </c>
      <c r="Q31" s="27"/>
      <c r="R31" s="19" t="s">
        <v>509</v>
      </c>
      <c r="S31" s="19" t="s">
        <v>894</v>
      </c>
    </row>
    <row r="32">
      <c r="G32" s="97">
        <v>46106.0</v>
      </c>
      <c r="H32" s="21">
        <v>5057.0</v>
      </c>
      <c r="I32" s="21">
        <v>13.8</v>
      </c>
      <c r="K32" s="13">
        <v>46111.0</v>
      </c>
      <c r="L32" s="21"/>
      <c r="M32" s="19"/>
      <c r="N32" s="19"/>
      <c r="O32" s="27" t="s">
        <v>618</v>
      </c>
      <c r="P32" s="27" t="s">
        <v>896</v>
      </c>
      <c r="Q32" s="27" t="s">
        <v>818</v>
      </c>
      <c r="R32" s="19" t="s">
        <v>898</v>
      </c>
      <c r="S32" s="19" t="s">
        <v>899</v>
      </c>
    </row>
    <row r="33">
      <c r="G33" s="97">
        <v>46107.0</v>
      </c>
      <c r="H33" s="21">
        <v>5132.0</v>
      </c>
      <c r="I33" s="21">
        <v>64.74</v>
      </c>
      <c r="K33" s="13">
        <v>46112.0</v>
      </c>
      <c r="L33" s="21"/>
      <c r="M33" s="19"/>
      <c r="N33" s="19"/>
      <c r="O33" s="27" t="s">
        <v>487</v>
      </c>
      <c r="P33" s="27" t="s">
        <v>901</v>
      </c>
      <c r="Q33" s="27" t="s">
        <v>818</v>
      </c>
      <c r="R33" s="19" t="s">
        <v>487</v>
      </c>
      <c r="S33" s="19" t="s">
        <v>902</v>
      </c>
    </row>
    <row r="34">
      <c r="G34" s="97">
        <v>46111.0</v>
      </c>
      <c r="H34" s="21">
        <v>5265.0</v>
      </c>
      <c r="I34" s="21">
        <v>51.44</v>
      </c>
      <c r="K34" s="13">
        <v>46113.0</v>
      </c>
      <c r="L34" s="21"/>
      <c r="M34" s="19"/>
      <c r="N34" s="19"/>
      <c r="O34" s="27" t="s">
        <v>618</v>
      </c>
      <c r="P34" s="27" t="s">
        <v>903</v>
      </c>
      <c r="Q34" s="27" t="s">
        <v>818</v>
      </c>
      <c r="R34" s="19" t="s">
        <v>904</v>
      </c>
      <c r="S34" s="19" t="s">
        <v>905</v>
      </c>
    </row>
    <row r="35">
      <c r="G35" s="97">
        <v>46112.0</v>
      </c>
      <c r="H35" s="21">
        <v>5265.0</v>
      </c>
      <c r="I35" s="21">
        <v>51.44</v>
      </c>
      <c r="K35" s="13">
        <v>46118.0</v>
      </c>
      <c r="L35" s="21"/>
      <c r="M35" s="19"/>
      <c r="N35" s="19"/>
      <c r="O35" s="27" t="s">
        <v>618</v>
      </c>
      <c r="P35" s="27" t="s">
        <v>906</v>
      </c>
      <c r="Q35" s="27" t="s">
        <v>818</v>
      </c>
      <c r="R35" s="19" t="s">
        <v>853</v>
      </c>
      <c r="S35" s="19" t="s">
        <v>488</v>
      </c>
    </row>
    <row r="36">
      <c r="G36" s="98">
        <v>46113.0</v>
      </c>
      <c r="H36" s="21">
        <v>5420.0</v>
      </c>
      <c r="I36" s="21">
        <v>36.84</v>
      </c>
      <c r="K36" s="13">
        <v>46119.0</v>
      </c>
      <c r="L36" s="21" t="s">
        <v>485</v>
      </c>
      <c r="M36" s="19">
        <v>-191.0</v>
      </c>
      <c r="N36" s="19">
        <v>4000.01</v>
      </c>
      <c r="O36" s="27" t="s">
        <v>618</v>
      </c>
      <c r="P36" s="27" t="s">
        <v>907</v>
      </c>
      <c r="Q36" s="27" t="s">
        <v>818</v>
      </c>
      <c r="R36" s="19" t="s">
        <v>853</v>
      </c>
      <c r="S36" s="19" t="s">
        <v>488</v>
      </c>
    </row>
    <row r="37">
      <c r="G37" s="98">
        <v>46118.0</v>
      </c>
      <c r="H37" s="21">
        <v>5543.0</v>
      </c>
      <c r="I37" s="21">
        <v>24.54</v>
      </c>
      <c r="K37" s="13">
        <v>46119.0</v>
      </c>
      <c r="L37" s="21"/>
      <c r="M37" s="19"/>
      <c r="N37" s="19"/>
      <c r="O37" s="27" t="s">
        <v>881</v>
      </c>
      <c r="P37" s="27" t="s">
        <v>910</v>
      </c>
      <c r="Q37" s="27"/>
      <c r="R37" s="19" t="s">
        <v>487</v>
      </c>
      <c r="S37" s="19" t="s">
        <v>911</v>
      </c>
    </row>
    <row r="38">
      <c r="G38" s="98">
        <v>46119.0</v>
      </c>
      <c r="H38" s="21">
        <v>5773.0</v>
      </c>
      <c r="I38" s="21">
        <v>64.54</v>
      </c>
      <c r="K38" s="13">
        <v>46120.0</v>
      </c>
      <c r="L38" s="21"/>
      <c r="M38" s="19"/>
      <c r="N38" s="19"/>
      <c r="O38" s="27" t="s">
        <v>487</v>
      </c>
      <c r="P38" s="27" t="s">
        <v>914</v>
      </c>
      <c r="Q38" s="27" t="s">
        <v>818</v>
      </c>
      <c r="R38" s="19" t="s">
        <v>487</v>
      </c>
      <c r="S38" s="27" t="s">
        <v>915</v>
      </c>
    </row>
    <row r="39">
      <c r="G39" s="98">
        <v>46120.0</v>
      </c>
      <c r="H39" s="21">
        <v>5773.0</v>
      </c>
      <c r="I39" s="21">
        <v>64.54</v>
      </c>
      <c r="K39" s="13">
        <v>46125.0</v>
      </c>
      <c r="L39" s="21" t="s">
        <v>485</v>
      </c>
      <c r="M39" s="19">
        <v>-171.0</v>
      </c>
      <c r="N39" s="19">
        <v>3829.01</v>
      </c>
      <c r="O39" s="27" t="s">
        <v>618</v>
      </c>
      <c r="P39" s="27" t="s">
        <v>919</v>
      </c>
      <c r="Q39" s="27" t="s">
        <v>818</v>
      </c>
      <c r="R39" s="19" t="s">
        <v>853</v>
      </c>
      <c r="S39" s="19" t="s">
        <v>488</v>
      </c>
    </row>
    <row r="40">
      <c r="G40" s="98">
        <v>46125.0</v>
      </c>
      <c r="H40" s="21">
        <v>5928.0</v>
      </c>
      <c r="I40" s="21">
        <v>49.04</v>
      </c>
      <c r="K40" s="13">
        <v>46126.0</v>
      </c>
      <c r="L40" s="21"/>
      <c r="M40" s="19"/>
      <c r="N40" s="19"/>
      <c r="O40" s="27" t="s">
        <v>487</v>
      </c>
      <c r="P40" s="27" t="s">
        <v>921</v>
      </c>
      <c r="Q40" s="27" t="s">
        <v>818</v>
      </c>
      <c r="R40" s="104" t="s">
        <v>487</v>
      </c>
      <c r="S40" s="105" t="s">
        <v>923</v>
      </c>
    </row>
    <row r="41">
      <c r="G41" s="97">
        <v>46126.0</v>
      </c>
      <c r="H41" s="21">
        <v>5968.0</v>
      </c>
      <c r="I41" s="21">
        <v>45.04</v>
      </c>
      <c r="K41" s="106">
        <v>46127.0</v>
      </c>
      <c r="L41" s="107"/>
      <c r="M41" s="104"/>
      <c r="N41" s="104"/>
      <c r="O41" s="27" t="s">
        <v>618</v>
      </c>
      <c r="P41" s="27" t="s">
        <v>926</v>
      </c>
      <c r="Q41" s="105" t="s">
        <v>818</v>
      </c>
      <c r="R41" s="104" t="s">
        <v>853</v>
      </c>
      <c r="S41" s="104" t="s">
        <v>488</v>
      </c>
    </row>
    <row r="42">
      <c r="G42" s="108">
        <v>46127.0</v>
      </c>
      <c r="H42" s="109">
        <v>6174.0</v>
      </c>
      <c r="I42" s="109">
        <v>24.44</v>
      </c>
      <c r="J42" s="110"/>
      <c r="K42" s="106">
        <v>46128.0</v>
      </c>
      <c r="L42" s="107"/>
      <c r="M42" s="104"/>
      <c r="N42" s="104"/>
      <c r="O42" s="27" t="s">
        <v>487</v>
      </c>
      <c r="P42" s="27" t="s">
        <v>928</v>
      </c>
      <c r="Q42" s="105" t="s">
        <v>818</v>
      </c>
      <c r="R42" s="104" t="s">
        <v>487</v>
      </c>
      <c r="S42" s="105" t="s">
        <v>930</v>
      </c>
    </row>
    <row r="43">
      <c r="G43" s="108">
        <v>46128.0</v>
      </c>
      <c r="H43" s="109">
        <v>6174.0</v>
      </c>
      <c r="I43" s="109">
        <v>24.44</v>
      </c>
      <c r="J43" s="110"/>
      <c r="K43" s="106">
        <v>46129.0</v>
      </c>
      <c r="L43" s="107"/>
      <c r="M43" s="104"/>
      <c r="N43" s="104"/>
      <c r="O43" s="27" t="s">
        <v>618</v>
      </c>
      <c r="P43" s="27" t="s">
        <v>931</v>
      </c>
      <c r="Q43" s="105" t="s">
        <v>818</v>
      </c>
      <c r="R43" s="111" t="s">
        <v>932</v>
      </c>
      <c r="S43" s="111" t="s">
        <v>933</v>
      </c>
    </row>
    <row r="44">
      <c r="G44" s="112">
        <v>46129.0</v>
      </c>
      <c r="H44" s="113">
        <v>6297.0</v>
      </c>
      <c r="I44" s="113">
        <v>12.13</v>
      </c>
      <c r="J44" s="110"/>
      <c r="K44" s="114">
        <v>46132.0</v>
      </c>
      <c r="L44" s="107"/>
      <c r="M44" s="104"/>
      <c r="N44" s="104"/>
      <c r="O44" s="27" t="s">
        <v>487</v>
      </c>
      <c r="P44" s="27" t="s">
        <v>936</v>
      </c>
      <c r="Q44" s="105" t="s">
        <v>818</v>
      </c>
      <c r="R44" s="27" t="s">
        <v>487</v>
      </c>
      <c r="S44" s="111" t="s">
        <v>850</v>
      </c>
    </row>
    <row r="45">
      <c r="G45" s="112">
        <v>46132.0</v>
      </c>
      <c r="H45" s="113">
        <v>6297.0</v>
      </c>
      <c r="I45" s="113">
        <v>12.13</v>
      </c>
      <c r="J45" s="110"/>
      <c r="K45" s="114">
        <v>46133.0</v>
      </c>
      <c r="L45" s="107"/>
      <c r="M45" s="104"/>
      <c r="N45" s="104"/>
      <c r="O45" s="27" t="s">
        <v>618</v>
      </c>
      <c r="P45" s="27" t="s">
        <v>937</v>
      </c>
      <c r="Q45" s="105" t="s">
        <v>818</v>
      </c>
      <c r="R45" s="115" t="s">
        <v>939</v>
      </c>
      <c r="S45" s="111" t="s">
        <v>940</v>
      </c>
    </row>
    <row r="46">
      <c r="G46" s="112">
        <v>46133.0</v>
      </c>
      <c r="H46" s="113">
        <v>6473.0</v>
      </c>
      <c r="I46" s="113">
        <v>58.54</v>
      </c>
      <c r="K46" s="114">
        <v>46133.0</v>
      </c>
      <c r="L46" s="107"/>
      <c r="M46" s="104"/>
      <c r="N46" s="104"/>
      <c r="O46" s="27" t="s">
        <v>618</v>
      </c>
      <c r="P46" s="27" t="s">
        <v>941</v>
      </c>
      <c r="Q46" s="105" t="s">
        <v>818</v>
      </c>
      <c r="R46" s="104" t="s">
        <v>853</v>
      </c>
      <c r="S46" s="104" t="s">
        <v>488</v>
      </c>
    </row>
    <row r="47">
      <c r="G47" s="97">
        <v>46134.0</v>
      </c>
      <c r="H47" s="21">
        <v>6610.0</v>
      </c>
      <c r="I47" s="21">
        <v>44.84</v>
      </c>
      <c r="K47" s="13">
        <v>46134.0</v>
      </c>
      <c r="L47" s="21"/>
      <c r="M47" s="19"/>
      <c r="N47" s="19"/>
      <c r="O47" s="27" t="s">
        <v>618</v>
      </c>
      <c r="P47" s="27" t="s">
        <v>942</v>
      </c>
      <c r="Q47" s="105" t="s">
        <v>818</v>
      </c>
      <c r="R47" s="104" t="s">
        <v>853</v>
      </c>
      <c r="S47" s="104" t="s">
        <v>488</v>
      </c>
    </row>
    <row r="48">
      <c r="G48" s="97">
        <v>46135.0</v>
      </c>
      <c r="H48" s="21">
        <v>6789.0</v>
      </c>
      <c r="I48" s="21">
        <v>26.94</v>
      </c>
      <c r="K48" s="13">
        <v>46134.0</v>
      </c>
      <c r="L48" s="21"/>
      <c r="M48" s="19"/>
      <c r="N48" s="19"/>
      <c r="O48" s="27" t="s">
        <v>618</v>
      </c>
      <c r="P48" s="27" t="s">
        <v>943</v>
      </c>
      <c r="Q48" s="105" t="s">
        <v>818</v>
      </c>
      <c r="R48" s="27" t="s">
        <v>944</v>
      </c>
      <c r="S48" s="111" t="s">
        <v>945</v>
      </c>
    </row>
    <row r="49">
      <c r="G49" s="97">
        <v>46139.0</v>
      </c>
      <c r="H49" s="21">
        <v>7017.0</v>
      </c>
      <c r="I49" s="21">
        <v>14.14</v>
      </c>
      <c r="K49" s="13">
        <v>46135.0</v>
      </c>
      <c r="L49" s="21"/>
      <c r="M49" s="19"/>
      <c r="N49" s="19"/>
      <c r="O49" s="27" t="s">
        <v>618</v>
      </c>
      <c r="P49" s="27" t="s">
        <v>947</v>
      </c>
      <c r="Q49" s="105" t="s">
        <v>818</v>
      </c>
      <c r="R49" s="27" t="s">
        <v>948</v>
      </c>
      <c r="S49" s="111" t="s">
        <v>949</v>
      </c>
    </row>
    <row r="50">
      <c r="G50" s="97">
        <v>46140.0</v>
      </c>
      <c r="H50" s="21">
        <v>7210.0</v>
      </c>
      <c r="I50" s="21">
        <v>44.84</v>
      </c>
      <c r="K50" s="13">
        <v>46135.0</v>
      </c>
      <c r="L50" s="21"/>
      <c r="M50" s="19"/>
      <c r="N50" s="19"/>
      <c r="O50" s="27" t="s">
        <v>618</v>
      </c>
      <c r="P50" s="27" t="s">
        <v>950</v>
      </c>
      <c r="Q50" s="105" t="s">
        <v>818</v>
      </c>
      <c r="R50" s="104" t="s">
        <v>853</v>
      </c>
      <c r="S50" s="104" t="s">
        <v>488</v>
      </c>
    </row>
    <row r="51">
      <c r="G51" s="97">
        <v>46141.0</v>
      </c>
      <c r="H51" s="21">
        <v>7402.0</v>
      </c>
      <c r="I51" s="21">
        <v>24.64</v>
      </c>
      <c r="K51" s="13">
        <v>46139.0</v>
      </c>
      <c r="L51" s="21"/>
      <c r="M51" s="19"/>
      <c r="N51" s="19"/>
      <c r="O51" s="27" t="s">
        <v>618</v>
      </c>
      <c r="P51" s="27" t="s">
        <v>951</v>
      </c>
      <c r="Q51" s="105" t="s">
        <v>818</v>
      </c>
      <c r="R51" s="27" t="s">
        <v>952</v>
      </c>
      <c r="S51" s="27" t="s">
        <v>953</v>
      </c>
    </row>
    <row r="52">
      <c r="G52" s="97">
        <v>46142.0</v>
      </c>
      <c r="H52" s="21">
        <v>7557.0</v>
      </c>
      <c r="I52" s="21">
        <v>19.18</v>
      </c>
      <c r="K52" s="13">
        <v>46139.0</v>
      </c>
      <c r="L52" s="21"/>
      <c r="M52" s="19"/>
      <c r="N52" s="19"/>
      <c r="O52" s="27" t="s">
        <v>618</v>
      </c>
      <c r="P52" s="27" t="s">
        <v>954</v>
      </c>
      <c r="Q52" s="105" t="s">
        <v>818</v>
      </c>
      <c r="R52" s="27" t="s">
        <v>955</v>
      </c>
      <c r="S52" s="27" t="s">
        <v>956</v>
      </c>
    </row>
    <row r="53">
      <c r="G53" s="116">
        <v>46143.0</v>
      </c>
      <c r="H53" s="21">
        <v>7691.0</v>
      </c>
      <c r="I53" s="21">
        <v>5.78</v>
      </c>
      <c r="K53" s="13">
        <v>46139.0</v>
      </c>
      <c r="L53" s="21"/>
      <c r="M53" s="19"/>
      <c r="N53" s="19"/>
      <c r="O53" s="27" t="s">
        <v>618</v>
      </c>
      <c r="P53" s="27" t="s">
        <v>957</v>
      </c>
      <c r="Q53" s="105" t="s">
        <v>818</v>
      </c>
      <c r="R53" s="104" t="s">
        <v>853</v>
      </c>
      <c r="S53" s="104" t="s">
        <v>488</v>
      </c>
    </row>
    <row r="54">
      <c r="G54" s="116">
        <v>46146.0</v>
      </c>
      <c r="H54" s="21">
        <v>7841.0</v>
      </c>
      <c r="I54" s="21">
        <v>45.18</v>
      </c>
      <c r="K54" s="13">
        <v>46140.0</v>
      </c>
      <c r="L54" s="21" t="s">
        <v>485</v>
      </c>
      <c r="M54" s="19">
        <v>-323.0</v>
      </c>
      <c r="N54" s="19">
        <v>3506.01</v>
      </c>
      <c r="O54" s="27" t="s">
        <v>618</v>
      </c>
      <c r="P54" s="27" t="s">
        <v>958</v>
      </c>
      <c r="Q54" s="105" t="s">
        <v>818</v>
      </c>
      <c r="R54" s="27" t="s">
        <v>959</v>
      </c>
      <c r="S54" s="27" t="s">
        <v>960</v>
      </c>
    </row>
    <row r="55">
      <c r="G55" s="116">
        <v>46147.0</v>
      </c>
      <c r="H55" s="21">
        <v>8124.0</v>
      </c>
      <c r="I55" s="21">
        <v>23.38</v>
      </c>
      <c r="K55" s="13">
        <v>46140.0</v>
      </c>
      <c r="L55" s="21" t="s">
        <v>485</v>
      </c>
      <c r="M55" s="19">
        <v>-305.0</v>
      </c>
      <c r="N55" s="19">
        <v>3201.01</v>
      </c>
      <c r="O55" s="27" t="s">
        <v>618</v>
      </c>
      <c r="P55" s="27" t="s">
        <v>963</v>
      </c>
      <c r="Q55" s="105" t="s">
        <v>818</v>
      </c>
      <c r="R55" s="104" t="s">
        <v>853</v>
      </c>
      <c r="S55" s="104" t="s">
        <v>488</v>
      </c>
    </row>
    <row r="56">
      <c r="G56" s="116">
        <v>46148.0</v>
      </c>
      <c r="H56" s="21">
        <v>8268.0</v>
      </c>
      <c r="I56" s="21">
        <v>58.46</v>
      </c>
      <c r="K56" s="13">
        <v>46141.0</v>
      </c>
      <c r="L56" s="21" t="s">
        <v>485</v>
      </c>
      <c r="M56" s="19">
        <v>-227.0</v>
      </c>
      <c r="N56" s="19">
        <v>2974.01</v>
      </c>
      <c r="O56" s="27" t="s">
        <v>487</v>
      </c>
      <c r="P56" s="27" t="s">
        <v>965</v>
      </c>
      <c r="Q56" s="105" t="s">
        <v>818</v>
      </c>
      <c r="R56" s="27" t="s">
        <v>487</v>
      </c>
      <c r="S56" s="27" t="s">
        <v>915</v>
      </c>
    </row>
    <row r="57">
      <c r="G57" s="116">
        <v>46149.0</v>
      </c>
      <c r="H57" s="21">
        <v>8435.0</v>
      </c>
      <c r="I57" s="21">
        <v>41.76</v>
      </c>
      <c r="K57" s="13">
        <v>46141.0</v>
      </c>
      <c r="L57" s="21" t="s">
        <v>485</v>
      </c>
      <c r="M57" s="19">
        <v>-230.0</v>
      </c>
      <c r="N57" s="19">
        <f>N56+M57</f>
        <v>2744.01</v>
      </c>
      <c r="O57" s="27" t="s">
        <v>618</v>
      </c>
      <c r="P57" s="27" t="s">
        <v>966</v>
      </c>
      <c r="Q57" s="105" t="s">
        <v>818</v>
      </c>
      <c r="R57" s="27" t="s">
        <v>944</v>
      </c>
      <c r="S57" s="27" t="s">
        <v>967</v>
      </c>
    </row>
    <row r="58">
      <c r="G58" s="117">
        <v>46153.0</v>
      </c>
      <c r="H58" s="21">
        <v>8556.0</v>
      </c>
      <c r="I58" s="21">
        <v>29.66</v>
      </c>
      <c r="K58" s="13">
        <v>46142.0</v>
      </c>
      <c r="L58" s="21"/>
      <c r="M58" s="19">
        <v>-419.0</v>
      </c>
      <c r="N58" s="19">
        <v>2325.01</v>
      </c>
      <c r="O58" s="27" t="s">
        <v>618</v>
      </c>
      <c r="P58" s="27" t="s">
        <v>970</v>
      </c>
      <c r="Q58" s="105" t="s">
        <v>818</v>
      </c>
      <c r="R58" s="27" t="s">
        <v>944</v>
      </c>
      <c r="S58" s="27" t="s">
        <v>971</v>
      </c>
    </row>
    <row r="59">
      <c r="G59" s="117">
        <v>46154.0</v>
      </c>
      <c r="H59" s="21">
        <v>8598.0</v>
      </c>
      <c r="I59" s="21">
        <v>25.46</v>
      </c>
      <c r="K59" s="13">
        <v>46143.0</v>
      </c>
      <c r="L59" s="21"/>
      <c r="M59" s="19"/>
      <c r="N59" s="19"/>
      <c r="O59" s="27" t="s">
        <v>618</v>
      </c>
      <c r="P59" s="27" t="s">
        <v>973</v>
      </c>
      <c r="Q59" s="105" t="s">
        <v>818</v>
      </c>
      <c r="R59" s="27" t="s">
        <v>974</v>
      </c>
      <c r="S59" s="27" t="s">
        <v>975</v>
      </c>
    </row>
    <row r="60">
      <c r="G60" s="117">
        <v>46155.0</v>
      </c>
      <c r="H60" s="21">
        <v>8681.0</v>
      </c>
      <c r="I60" s="21">
        <v>17.16</v>
      </c>
      <c r="K60" s="13">
        <v>46146.0</v>
      </c>
      <c r="L60" s="21" t="s">
        <v>485</v>
      </c>
      <c r="M60" s="19">
        <v>-171.0</v>
      </c>
      <c r="N60" s="19">
        <v>2154.01</v>
      </c>
      <c r="O60" s="27" t="s">
        <v>618</v>
      </c>
      <c r="P60" s="27" t="s">
        <v>977</v>
      </c>
      <c r="Q60" s="105" t="s">
        <v>818</v>
      </c>
      <c r="R60" s="27" t="s">
        <v>978</v>
      </c>
      <c r="S60" s="27" t="s">
        <v>979</v>
      </c>
    </row>
    <row r="61">
      <c r="G61" s="117">
        <v>46156.0</v>
      </c>
      <c r="H61" s="21">
        <v>8766.0</v>
      </c>
      <c r="I61" s="21">
        <v>9.66</v>
      </c>
      <c r="K61" s="13">
        <v>46147.0</v>
      </c>
      <c r="L61" s="21" t="s">
        <v>485</v>
      </c>
      <c r="M61" s="19">
        <v>-284.0</v>
      </c>
      <c r="N61" s="19">
        <v>1870.01</v>
      </c>
      <c r="O61" s="27" t="s">
        <v>618</v>
      </c>
      <c r="P61" s="27" t="s">
        <v>980</v>
      </c>
      <c r="Q61" s="105" t="s">
        <v>818</v>
      </c>
      <c r="R61" s="27" t="s">
        <v>982</v>
      </c>
      <c r="S61" s="27" t="s">
        <v>983</v>
      </c>
    </row>
    <row r="62">
      <c r="G62" s="117">
        <v>46160.0</v>
      </c>
      <c r="H62" s="21">
        <v>8780.0</v>
      </c>
      <c r="I62" s="21">
        <v>63.48</v>
      </c>
      <c r="K62" s="13">
        <v>46147.0</v>
      </c>
      <c r="L62" s="21"/>
      <c r="M62" s="19"/>
      <c r="N62" s="19"/>
      <c r="O62" s="27" t="s">
        <v>618</v>
      </c>
      <c r="P62" s="27" t="s">
        <v>984</v>
      </c>
      <c r="Q62" s="105" t="s">
        <v>818</v>
      </c>
      <c r="R62" s="27" t="s">
        <v>985</v>
      </c>
      <c r="S62" s="27" t="s">
        <v>983</v>
      </c>
    </row>
    <row r="63">
      <c r="G63" s="117">
        <v>46161.0</v>
      </c>
      <c r="H63" s="21">
        <v>8911.0</v>
      </c>
      <c r="I63" s="21">
        <v>50.38</v>
      </c>
      <c r="K63" s="13">
        <v>46147.0</v>
      </c>
      <c r="L63" s="21"/>
      <c r="M63" s="19"/>
      <c r="N63" s="19"/>
      <c r="O63" s="27" t="s">
        <v>618</v>
      </c>
      <c r="P63" s="27" t="s">
        <v>987</v>
      </c>
      <c r="Q63" s="105" t="s">
        <v>818</v>
      </c>
      <c r="R63" s="19" t="s">
        <v>853</v>
      </c>
      <c r="S63" s="19" t="s">
        <v>488</v>
      </c>
    </row>
    <row r="64">
      <c r="G64" s="117">
        <v>46162.0</v>
      </c>
      <c r="H64" s="21">
        <v>9102.0</v>
      </c>
      <c r="I64" s="21">
        <v>31.28</v>
      </c>
      <c r="K64" s="13">
        <v>46148.0</v>
      </c>
      <c r="L64" s="21"/>
      <c r="M64" s="19"/>
      <c r="N64" s="19"/>
      <c r="O64" s="27" t="s">
        <v>618</v>
      </c>
      <c r="P64" s="27" t="s">
        <v>991</v>
      </c>
      <c r="Q64" s="105" t="s">
        <v>818</v>
      </c>
      <c r="R64" s="104" t="s">
        <v>853</v>
      </c>
      <c r="S64" s="104" t="s">
        <v>488</v>
      </c>
    </row>
    <row r="65">
      <c r="G65" s="117">
        <v>46163.0</v>
      </c>
      <c r="H65" s="21">
        <v>9389.0</v>
      </c>
      <c r="I65" s="21">
        <v>7.58</v>
      </c>
      <c r="K65" s="13">
        <v>46149.0</v>
      </c>
      <c r="L65" s="21"/>
      <c r="M65" s="19"/>
      <c r="N65" s="19"/>
      <c r="O65" s="27" t="s">
        <v>618</v>
      </c>
      <c r="P65" s="27" t="s">
        <v>992</v>
      </c>
      <c r="Q65" s="105" t="s">
        <v>818</v>
      </c>
      <c r="R65" s="27" t="s">
        <v>994</v>
      </c>
      <c r="S65" s="27" t="s">
        <v>933</v>
      </c>
    </row>
    <row r="66">
      <c r="G66" s="117">
        <v>46167.0</v>
      </c>
      <c r="H66" s="21">
        <v>9401.0</v>
      </c>
      <c r="I66" s="21">
        <v>59.91</v>
      </c>
      <c r="K66" s="13">
        <v>46149.0</v>
      </c>
      <c r="L66" s="21"/>
      <c r="M66" s="19"/>
      <c r="N66" s="19"/>
      <c r="O66" s="27" t="s">
        <v>618</v>
      </c>
      <c r="P66" s="27" t="s">
        <v>995</v>
      </c>
      <c r="Q66" s="105" t="s">
        <v>818</v>
      </c>
      <c r="R66" s="104" t="s">
        <v>853</v>
      </c>
      <c r="S66" s="104" t="s">
        <v>488</v>
      </c>
    </row>
    <row r="67">
      <c r="G67" s="117">
        <v>46168.0</v>
      </c>
      <c r="H67" s="21">
        <v>9632.0</v>
      </c>
      <c r="I67" s="21">
        <v>36.81</v>
      </c>
      <c r="K67" s="13">
        <v>46153.0</v>
      </c>
      <c r="L67" s="21"/>
      <c r="M67" s="19"/>
      <c r="N67" s="19"/>
      <c r="O67" s="27" t="s">
        <v>618</v>
      </c>
      <c r="P67" s="27" t="s">
        <v>997</v>
      </c>
      <c r="Q67" s="105" t="s">
        <v>818</v>
      </c>
      <c r="R67" s="104" t="s">
        <v>853</v>
      </c>
      <c r="S67" s="104" t="s">
        <v>488</v>
      </c>
    </row>
    <row r="68">
      <c r="G68" s="98">
        <v>46174.0</v>
      </c>
      <c r="H68" s="21">
        <v>9759.0</v>
      </c>
      <c r="I68" s="21">
        <v>24.11</v>
      </c>
      <c r="K68" s="13">
        <v>46154.0</v>
      </c>
      <c r="L68" s="21"/>
      <c r="M68" s="19"/>
      <c r="N68" s="19"/>
      <c r="O68" s="27" t="s">
        <v>487</v>
      </c>
      <c r="P68" s="27" t="s">
        <v>998</v>
      </c>
      <c r="Q68" s="105" t="s">
        <v>818</v>
      </c>
      <c r="R68" s="27" t="s">
        <v>487</v>
      </c>
      <c r="S68" s="27" t="s">
        <v>1000</v>
      </c>
    </row>
    <row r="69">
      <c r="G69" s="98">
        <v>46175.0</v>
      </c>
      <c r="H69" s="21">
        <v>9930.0</v>
      </c>
      <c r="I69" s="21">
        <v>12.01</v>
      </c>
      <c r="K69" s="13">
        <v>46155.0</v>
      </c>
      <c r="L69" s="21"/>
      <c r="M69" s="19"/>
      <c r="N69" s="19"/>
      <c r="O69" s="27" t="s">
        <v>844</v>
      </c>
      <c r="P69" s="27" t="s">
        <v>1001</v>
      </c>
      <c r="Q69" s="105" t="s">
        <v>818</v>
      </c>
      <c r="R69" s="27" t="s">
        <v>845</v>
      </c>
      <c r="S69" s="27" t="s">
        <v>1004</v>
      </c>
    </row>
    <row r="70">
      <c r="G70" s="98">
        <v>46176.0</v>
      </c>
      <c r="H70" s="21">
        <v>10084.0</v>
      </c>
      <c r="I70" s="21">
        <v>52.61</v>
      </c>
      <c r="K70" s="13">
        <v>46156.0</v>
      </c>
      <c r="L70" s="21"/>
      <c r="M70" s="19"/>
      <c r="N70" s="19"/>
      <c r="O70" s="27" t="s">
        <v>844</v>
      </c>
      <c r="P70" s="27" t="s">
        <v>1006</v>
      </c>
      <c r="Q70" s="105" t="s">
        <v>818</v>
      </c>
      <c r="R70" s="27" t="s">
        <v>845</v>
      </c>
      <c r="S70" s="27" t="s">
        <v>1004</v>
      </c>
    </row>
    <row r="71">
      <c r="G71" s="98">
        <v>46177.0</v>
      </c>
      <c r="H71" s="21">
        <v>10204.0</v>
      </c>
      <c r="I71" s="21">
        <v>40.61</v>
      </c>
      <c r="K71" s="13">
        <v>46160.0</v>
      </c>
      <c r="L71" s="21"/>
      <c r="M71" s="19"/>
      <c r="N71" s="19"/>
      <c r="O71" s="27" t="s">
        <v>487</v>
      </c>
      <c r="P71" s="27"/>
      <c r="Q71" s="105" t="s">
        <v>818</v>
      </c>
      <c r="R71" s="27" t="s">
        <v>487</v>
      </c>
      <c r="S71" s="27" t="s">
        <v>850</v>
      </c>
    </row>
    <row r="72">
      <c r="G72" s="98">
        <v>46178.0</v>
      </c>
      <c r="H72" s="21">
        <v>10289.0</v>
      </c>
      <c r="I72" s="21">
        <v>32.11</v>
      </c>
      <c r="K72" s="13">
        <v>46161.0</v>
      </c>
      <c r="L72" s="21"/>
      <c r="M72" s="19"/>
      <c r="N72" s="19"/>
      <c r="O72" s="27" t="s">
        <v>618</v>
      </c>
      <c r="P72" s="27"/>
      <c r="Q72" s="105" t="s">
        <v>818</v>
      </c>
      <c r="R72" s="104" t="s">
        <v>853</v>
      </c>
      <c r="S72" s="104" t="s">
        <v>488</v>
      </c>
    </row>
    <row r="73">
      <c r="G73" s="98">
        <v>46181.0</v>
      </c>
      <c r="H73" s="21">
        <v>10289.0</v>
      </c>
      <c r="I73" s="21">
        <v>32.11</v>
      </c>
      <c r="K73" s="13">
        <v>46162.0</v>
      </c>
      <c r="L73" s="21" t="s">
        <v>485</v>
      </c>
      <c r="M73" s="19">
        <v>-209.0</v>
      </c>
      <c r="N73" s="19">
        <v>1661.01</v>
      </c>
      <c r="O73" s="27" t="s">
        <v>618</v>
      </c>
      <c r="P73" s="27"/>
      <c r="Q73" s="105" t="s">
        <v>818</v>
      </c>
      <c r="R73" s="104" t="s">
        <v>853</v>
      </c>
      <c r="S73" s="104" t="s">
        <v>488</v>
      </c>
    </row>
    <row r="74">
      <c r="G74" s="98">
        <v>46182.0</v>
      </c>
      <c r="H74" s="21">
        <v>10477.0</v>
      </c>
      <c r="I74" s="21">
        <v>24.21</v>
      </c>
      <c r="K74" s="13">
        <v>46162.0</v>
      </c>
      <c r="L74" s="21" t="s">
        <v>485</v>
      </c>
      <c r="M74" s="19">
        <v>-209.0</v>
      </c>
      <c r="N74" s="19">
        <v>1452.01</v>
      </c>
      <c r="O74" s="27" t="s">
        <v>618</v>
      </c>
      <c r="P74" s="27"/>
      <c r="Q74" s="105" t="s">
        <v>818</v>
      </c>
      <c r="R74" s="27" t="s">
        <v>994</v>
      </c>
      <c r="S74" s="27" t="s">
        <v>983</v>
      </c>
    </row>
    <row r="75">
      <c r="G75" s="97">
        <v>46183.0</v>
      </c>
      <c r="H75" s="21">
        <v>10595.0</v>
      </c>
      <c r="I75" s="21">
        <v>13.41</v>
      </c>
      <c r="K75" s="13">
        <v>46163.0</v>
      </c>
      <c r="L75" s="21"/>
      <c r="M75" s="19"/>
      <c r="N75" s="19"/>
      <c r="O75" s="27" t="s">
        <v>618</v>
      </c>
      <c r="P75" s="27"/>
      <c r="Q75" s="105" t="s">
        <v>818</v>
      </c>
      <c r="R75" s="104" t="s">
        <v>853</v>
      </c>
      <c r="S75" s="104" t="s">
        <v>488</v>
      </c>
    </row>
    <row r="76">
      <c r="G76" s="97">
        <v>46184.0</v>
      </c>
      <c r="H76" s="21">
        <v>10803.0</v>
      </c>
      <c r="I76" s="21">
        <v>51.97</v>
      </c>
      <c r="K76" s="13">
        <v>46163.0</v>
      </c>
      <c r="L76" s="21"/>
      <c r="M76" s="19"/>
      <c r="N76" s="19"/>
      <c r="O76" s="27" t="s">
        <v>618</v>
      </c>
      <c r="P76" s="27"/>
      <c r="Q76" s="105" t="s">
        <v>818</v>
      </c>
      <c r="R76" s="27" t="s">
        <v>819</v>
      </c>
      <c r="S76" s="27" t="s">
        <v>956</v>
      </c>
    </row>
    <row r="77">
      <c r="G77" s="97">
        <v>46185.0</v>
      </c>
      <c r="H77" s="21">
        <v>10902.0</v>
      </c>
      <c r="I77" s="21">
        <v>42.07</v>
      </c>
      <c r="K77" s="13">
        <v>46163.0</v>
      </c>
      <c r="L77" s="21"/>
      <c r="M77" s="19"/>
      <c r="N77" s="19"/>
      <c r="O77" s="27" t="s">
        <v>618</v>
      </c>
      <c r="P77" s="27"/>
      <c r="Q77" s="105" t="s">
        <v>818</v>
      </c>
      <c r="R77" s="115" t="s">
        <v>1009</v>
      </c>
      <c r="S77" s="27" t="s">
        <v>956</v>
      </c>
    </row>
    <row r="78">
      <c r="G78" s="97">
        <v>46188.0</v>
      </c>
      <c r="H78" s="21">
        <v>11022.0</v>
      </c>
      <c r="I78" s="21">
        <v>30.07</v>
      </c>
      <c r="K78" s="13">
        <v>46167.0</v>
      </c>
      <c r="L78" s="21" t="s">
        <v>1010</v>
      </c>
      <c r="M78" s="19">
        <f>5000</f>
        <v>5000</v>
      </c>
      <c r="N78" s="19">
        <v>6452.01</v>
      </c>
      <c r="O78" s="27" t="s">
        <v>487</v>
      </c>
      <c r="P78" s="27"/>
      <c r="Q78" s="105" t="s">
        <v>818</v>
      </c>
      <c r="R78" s="27" t="s">
        <v>487</v>
      </c>
      <c r="S78" s="27" t="s">
        <v>915</v>
      </c>
    </row>
    <row r="79">
      <c r="G79" s="97">
        <v>46189.0</v>
      </c>
      <c r="H79" s="21">
        <v>11152.0</v>
      </c>
      <c r="I79" s="21">
        <v>17.07</v>
      </c>
      <c r="K79" s="13">
        <v>46168.0</v>
      </c>
      <c r="L79" s="21" t="s">
        <v>485</v>
      </c>
      <c r="M79" s="19">
        <v>-413.0</v>
      </c>
      <c r="N79" s="19">
        <v>5868.01</v>
      </c>
      <c r="O79" s="27" t="s">
        <v>844</v>
      </c>
      <c r="P79" s="27"/>
      <c r="Q79" s="105" t="s">
        <v>818</v>
      </c>
      <c r="R79" s="115" t="s">
        <v>1011</v>
      </c>
      <c r="S79" s="115" t="s">
        <v>1012</v>
      </c>
    </row>
    <row r="80">
      <c r="G80" s="97">
        <v>46190.0</v>
      </c>
      <c r="H80" s="21">
        <v>11311.0</v>
      </c>
      <c r="I80" s="21">
        <v>11.17</v>
      </c>
      <c r="K80" s="13">
        <v>46174.0</v>
      </c>
      <c r="L80" s="21" t="s">
        <v>485</v>
      </c>
      <c r="M80" s="19">
        <v>-39.0</v>
      </c>
      <c r="N80" s="19">
        <v>5829.0</v>
      </c>
      <c r="O80" s="27" t="s">
        <v>618</v>
      </c>
      <c r="P80" s="27"/>
      <c r="Q80" s="105" t="s">
        <v>818</v>
      </c>
      <c r="R80" s="104" t="s">
        <v>853</v>
      </c>
      <c r="S80" s="104" t="s">
        <v>488</v>
      </c>
    </row>
    <row r="81">
      <c r="G81" s="97">
        <v>46191.0</v>
      </c>
      <c r="H81" s="21">
        <v>11489.0</v>
      </c>
      <c r="I81" s="21">
        <v>54.97</v>
      </c>
      <c r="K81" s="13">
        <v>46175.0</v>
      </c>
      <c r="L81" s="21"/>
      <c r="M81" s="19"/>
      <c r="N81" s="19"/>
      <c r="O81" s="27" t="s">
        <v>618</v>
      </c>
      <c r="P81" s="27"/>
      <c r="Q81" s="105" t="s">
        <v>818</v>
      </c>
      <c r="R81" s="27" t="s">
        <v>1013</v>
      </c>
      <c r="S81" s="27" t="s">
        <v>820</v>
      </c>
    </row>
    <row r="82">
      <c r="G82" s="97">
        <v>46195.0</v>
      </c>
      <c r="H82" s="21">
        <v>11689.0</v>
      </c>
      <c r="I82" s="21">
        <v>34.47</v>
      </c>
      <c r="K82" s="13">
        <v>46175.0</v>
      </c>
      <c r="L82" s="21"/>
      <c r="M82" s="19"/>
      <c r="N82" s="19"/>
      <c r="O82" s="27" t="s">
        <v>618</v>
      </c>
      <c r="P82" s="27"/>
      <c r="Q82" s="105" t="s">
        <v>818</v>
      </c>
      <c r="R82" s="27" t="s">
        <v>1009</v>
      </c>
      <c r="S82" s="27" t="s">
        <v>983</v>
      </c>
    </row>
    <row r="83">
      <c r="G83" s="97">
        <v>46196.0</v>
      </c>
      <c r="H83" s="21">
        <v>11839.0</v>
      </c>
      <c r="I83" s="21">
        <v>19.47</v>
      </c>
      <c r="K83" s="13">
        <v>46176.0</v>
      </c>
      <c r="L83" s="21" t="s">
        <v>485</v>
      </c>
      <c r="M83" s="19">
        <v>-307.0</v>
      </c>
      <c r="N83" s="19">
        <v>5522.01</v>
      </c>
      <c r="O83" s="27" t="s">
        <v>618</v>
      </c>
      <c r="P83" s="27"/>
      <c r="Q83" s="105" t="s">
        <v>818</v>
      </c>
      <c r="R83" s="104" t="s">
        <v>853</v>
      </c>
      <c r="S83" s="104" t="s">
        <v>488</v>
      </c>
    </row>
    <row r="84">
      <c r="G84" s="97">
        <v>46197.0</v>
      </c>
      <c r="H84" s="21">
        <v>11966.0</v>
      </c>
      <c r="I84" s="21">
        <v>6.7</v>
      </c>
      <c r="K84" s="13">
        <v>46177.0</v>
      </c>
      <c r="L84" s="21"/>
      <c r="M84" s="19"/>
      <c r="N84" s="19"/>
      <c r="O84" s="27" t="s">
        <v>618</v>
      </c>
      <c r="P84" s="27"/>
      <c r="Q84" s="105" t="s">
        <v>818</v>
      </c>
      <c r="R84" s="104" t="s">
        <v>853</v>
      </c>
      <c r="S84" s="104" t="s">
        <v>488</v>
      </c>
    </row>
    <row r="85">
      <c r="G85" s="97">
        <v>46198.0</v>
      </c>
      <c r="H85" s="21">
        <v>12121.0</v>
      </c>
      <c r="I85" s="21">
        <v>6.27</v>
      </c>
      <c r="K85" s="13">
        <v>46178.0</v>
      </c>
      <c r="L85" s="21" t="s">
        <v>485</v>
      </c>
      <c r="M85" s="19">
        <v>-339.0</v>
      </c>
      <c r="N85" s="19">
        <v>5183.01</v>
      </c>
      <c r="O85" s="27" t="s">
        <v>891</v>
      </c>
      <c r="P85" s="27"/>
      <c r="Q85" s="27"/>
      <c r="R85" s="27" t="s">
        <v>509</v>
      </c>
      <c r="S85" s="27" t="s">
        <v>894</v>
      </c>
    </row>
    <row r="86">
      <c r="G86" s="97">
        <v>46199.0</v>
      </c>
      <c r="H86" s="21">
        <v>12307.0</v>
      </c>
      <c r="I86" s="21">
        <v>40.92</v>
      </c>
      <c r="K86" s="13">
        <v>46181.0</v>
      </c>
      <c r="L86" s="21"/>
      <c r="M86" s="19"/>
      <c r="N86" s="19"/>
      <c r="O86" s="27" t="s">
        <v>487</v>
      </c>
      <c r="P86" s="27"/>
      <c r="Q86" s="105" t="s">
        <v>818</v>
      </c>
      <c r="R86" s="27" t="s">
        <v>487</v>
      </c>
      <c r="S86" s="27" t="s">
        <v>850</v>
      </c>
    </row>
    <row r="87">
      <c r="G87" s="97">
        <v>46202.0</v>
      </c>
      <c r="H87" s="21">
        <v>12430.0</v>
      </c>
      <c r="I87" s="21">
        <v>28.62</v>
      </c>
      <c r="K87" s="13">
        <v>46182.0</v>
      </c>
      <c r="L87" s="21" t="s">
        <v>485</v>
      </c>
      <c r="M87" s="19">
        <v>-145.0</v>
      </c>
      <c r="N87" s="19">
        <v>5038.01</v>
      </c>
      <c r="O87" s="27" t="s">
        <v>618</v>
      </c>
      <c r="P87" s="27"/>
      <c r="Q87" s="105" t="s">
        <v>818</v>
      </c>
      <c r="R87" s="104" t="s">
        <v>853</v>
      </c>
      <c r="S87" s="104" t="s">
        <v>488</v>
      </c>
    </row>
    <row r="88">
      <c r="G88" s="97">
        <v>46203.0</v>
      </c>
      <c r="H88" s="21">
        <v>12556.0</v>
      </c>
      <c r="I88" s="21">
        <v>16.02</v>
      </c>
      <c r="K88" s="13">
        <v>46182.0</v>
      </c>
      <c r="L88" s="21" t="s">
        <v>485</v>
      </c>
      <c r="M88" s="19">
        <v>-85.0</v>
      </c>
      <c r="N88" s="19">
        <v>4953.01</v>
      </c>
      <c r="O88" s="27" t="s">
        <v>618</v>
      </c>
      <c r="P88" s="27"/>
      <c r="Q88" s="105" t="s">
        <v>818</v>
      </c>
      <c r="R88" s="27" t="s">
        <v>1014</v>
      </c>
      <c r="S88" s="27" t="s">
        <v>1015</v>
      </c>
    </row>
    <row r="89">
      <c r="G89" s="97">
        <v>46204.0</v>
      </c>
      <c r="H89" s="21">
        <v>12729.0</v>
      </c>
      <c r="I89" s="21">
        <v>28.72</v>
      </c>
      <c r="K89" s="13">
        <v>46183.0</v>
      </c>
      <c r="L89" s="21" t="s">
        <v>485</v>
      </c>
      <c r="M89" s="19">
        <v>-206.0</v>
      </c>
      <c r="N89" s="19">
        <v>4747.01</v>
      </c>
      <c r="O89" s="27" t="s">
        <v>618</v>
      </c>
      <c r="P89" s="27"/>
      <c r="Q89" s="105" t="s">
        <v>818</v>
      </c>
      <c r="R89" s="27" t="s">
        <v>978</v>
      </c>
      <c r="S89" s="27" t="s">
        <v>616</v>
      </c>
    </row>
    <row r="90">
      <c r="G90" s="97">
        <v>46205.0</v>
      </c>
      <c r="H90" s="21">
        <v>12875.0</v>
      </c>
      <c r="I90" s="21">
        <v>24.12</v>
      </c>
      <c r="K90" s="13">
        <v>46184.0</v>
      </c>
      <c r="L90" s="21"/>
      <c r="M90" s="19"/>
      <c r="N90" s="19"/>
      <c r="O90" s="27" t="s">
        <v>618</v>
      </c>
      <c r="P90" s="27"/>
      <c r="Q90" s="105" t="s">
        <v>818</v>
      </c>
      <c r="R90" s="27" t="s">
        <v>1016</v>
      </c>
      <c r="S90" s="27" t="s">
        <v>933</v>
      </c>
    </row>
    <row r="91">
      <c r="G91" s="97">
        <v>46209.0</v>
      </c>
      <c r="H91" s="21">
        <v>13035.0</v>
      </c>
      <c r="I91" s="21">
        <v>8.12</v>
      </c>
      <c r="K91" s="13">
        <v>46184.0</v>
      </c>
      <c r="L91" s="21"/>
      <c r="M91" s="19"/>
      <c r="N91" s="19"/>
      <c r="O91" s="27" t="s">
        <v>618</v>
      </c>
      <c r="P91" s="27"/>
      <c r="Q91" s="105" t="s">
        <v>818</v>
      </c>
      <c r="R91" s="27" t="s">
        <v>1017</v>
      </c>
      <c r="S91" s="27" t="s">
        <v>1015</v>
      </c>
    </row>
    <row r="92">
      <c r="G92" s="97">
        <v>46210.0</v>
      </c>
      <c r="H92" s="21">
        <v>13176.0</v>
      </c>
      <c r="I92" s="21">
        <v>24.02</v>
      </c>
      <c r="K92" s="13">
        <v>46185.0</v>
      </c>
      <c r="L92" s="21"/>
      <c r="M92" s="19"/>
      <c r="N92" s="19"/>
      <c r="O92" s="27" t="s">
        <v>618</v>
      </c>
      <c r="P92" s="27"/>
      <c r="Q92" s="105" t="s">
        <v>818</v>
      </c>
      <c r="R92" s="27" t="s">
        <v>1018</v>
      </c>
      <c r="S92" s="27" t="s">
        <v>1019</v>
      </c>
    </row>
    <row r="93">
      <c r="G93" s="97">
        <v>46211.0</v>
      </c>
      <c r="H93" s="21">
        <v>13364.0</v>
      </c>
      <c r="I93" s="21">
        <v>15.22</v>
      </c>
      <c r="K93" s="13">
        <v>46188.0</v>
      </c>
      <c r="L93" s="21"/>
      <c r="M93" s="19"/>
      <c r="N93" s="19"/>
      <c r="O93" s="27" t="s">
        <v>618</v>
      </c>
      <c r="P93" s="27"/>
      <c r="Q93" s="105" t="s">
        <v>818</v>
      </c>
      <c r="R93" s="99" t="s">
        <v>853</v>
      </c>
      <c r="S93" s="100" t="s">
        <v>488</v>
      </c>
    </row>
    <row r="94">
      <c r="G94" s="97">
        <v>46212.0</v>
      </c>
      <c r="H94" s="21">
        <v>13553.0</v>
      </c>
      <c r="I94" s="21">
        <v>26.32</v>
      </c>
      <c r="K94" s="13">
        <v>46189.0</v>
      </c>
      <c r="L94" s="21"/>
      <c r="M94" s="19"/>
      <c r="N94" s="19"/>
      <c r="O94" s="27" t="s">
        <v>618</v>
      </c>
      <c r="P94" s="27"/>
      <c r="Q94" s="105" t="s">
        <v>818</v>
      </c>
      <c r="R94" s="37"/>
      <c r="S94" s="37"/>
    </row>
    <row r="95">
      <c r="G95" s="97">
        <v>46213.0</v>
      </c>
      <c r="H95" s="21">
        <v>13795.0</v>
      </c>
      <c r="I95" s="21">
        <v>7.02</v>
      </c>
      <c r="K95" s="13">
        <v>46190.0</v>
      </c>
      <c r="L95" s="21"/>
      <c r="M95" s="19"/>
      <c r="N95" s="19"/>
      <c r="O95" s="27" t="s">
        <v>618</v>
      </c>
      <c r="P95" s="27"/>
      <c r="Q95" s="105" t="s">
        <v>818</v>
      </c>
      <c r="R95" s="40"/>
      <c r="S95" s="40"/>
    </row>
    <row r="96">
      <c r="G96" s="97">
        <v>46217.0</v>
      </c>
      <c r="H96" s="21">
        <v>13948.0</v>
      </c>
      <c r="I96" s="21">
        <v>22.72</v>
      </c>
      <c r="K96" s="13">
        <v>46190.0</v>
      </c>
      <c r="L96" s="21"/>
      <c r="M96" s="19"/>
      <c r="N96" s="19"/>
      <c r="O96" s="27" t="s">
        <v>618</v>
      </c>
      <c r="P96" s="27"/>
      <c r="Q96" s="105" t="s">
        <v>818</v>
      </c>
      <c r="R96" s="27" t="s">
        <v>1020</v>
      </c>
      <c r="S96" s="27" t="s">
        <v>1021</v>
      </c>
    </row>
    <row r="97">
      <c r="G97" s="97">
        <v>46218.0</v>
      </c>
      <c r="H97" s="21">
        <v>14088.0</v>
      </c>
      <c r="I97" s="21">
        <v>8.72</v>
      </c>
      <c r="K97" s="13">
        <v>46191.0</v>
      </c>
      <c r="L97" s="21"/>
      <c r="M97" s="19"/>
      <c r="N97" s="19"/>
      <c r="O97" s="27" t="s">
        <v>618</v>
      </c>
      <c r="P97" s="27"/>
      <c r="Q97" s="105" t="s">
        <v>818</v>
      </c>
      <c r="R97" s="104" t="s">
        <v>853</v>
      </c>
      <c r="S97" s="104" t="s">
        <v>488</v>
      </c>
    </row>
    <row r="98">
      <c r="G98" s="97">
        <v>46219.0</v>
      </c>
      <c r="H98" s="21">
        <v>14292.0</v>
      </c>
      <c r="I98" s="21">
        <v>3.22</v>
      </c>
      <c r="K98" s="13">
        <v>46191.0</v>
      </c>
      <c r="L98" s="21"/>
      <c r="M98" s="19"/>
      <c r="N98" s="19"/>
      <c r="O98" s="27" t="s">
        <v>618</v>
      </c>
      <c r="P98" s="27"/>
      <c r="Q98" s="105" t="s">
        <v>818</v>
      </c>
      <c r="R98" s="27" t="s">
        <v>1022</v>
      </c>
      <c r="S98" s="27" t="s">
        <v>1023</v>
      </c>
    </row>
    <row r="99">
      <c r="G99" s="97">
        <v>46223.0</v>
      </c>
      <c r="H99" s="21">
        <v>14473.0</v>
      </c>
      <c r="I99" s="21">
        <v>25.12</v>
      </c>
      <c r="K99" s="13">
        <v>46195.0</v>
      </c>
      <c r="L99" s="21" t="s">
        <v>485</v>
      </c>
      <c r="M99" s="19">
        <v>-209.0</v>
      </c>
      <c r="N99" s="19">
        <v>4538.01</v>
      </c>
      <c r="O99" s="27" t="s">
        <v>618</v>
      </c>
      <c r="P99" s="27"/>
      <c r="Q99" s="105" t="s">
        <v>818</v>
      </c>
      <c r="R99" s="104" t="s">
        <v>853</v>
      </c>
      <c r="S99" s="104" t="s">
        <v>488</v>
      </c>
    </row>
    <row r="100">
      <c r="G100" s="97">
        <v>46224.0</v>
      </c>
      <c r="H100" s="21">
        <v>14642.0</v>
      </c>
      <c r="I100" s="21">
        <v>8.22</v>
      </c>
      <c r="K100" s="13">
        <v>46195.0</v>
      </c>
      <c r="L100" s="21" t="s">
        <v>485</v>
      </c>
      <c r="M100" s="19">
        <v>-136.0</v>
      </c>
      <c r="N100" s="19">
        <v>4402.01</v>
      </c>
      <c r="O100" s="27" t="s">
        <v>618</v>
      </c>
      <c r="P100" s="27"/>
      <c r="Q100" s="105" t="s">
        <v>818</v>
      </c>
      <c r="R100" s="27" t="s">
        <v>982</v>
      </c>
      <c r="S100" s="27" t="s">
        <v>933</v>
      </c>
    </row>
    <row r="101">
      <c r="G101" s="97">
        <v>46225.0</v>
      </c>
      <c r="H101" s="21">
        <v>14977.0</v>
      </c>
      <c r="I101" s="21">
        <v>14.7</v>
      </c>
      <c r="K101" s="13">
        <v>46196.0</v>
      </c>
      <c r="L101" s="21" t="s">
        <v>485</v>
      </c>
      <c r="M101" s="19">
        <v>-323.0</v>
      </c>
      <c r="N101" s="19">
        <v>4079.01</v>
      </c>
      <c r="O101" s="27" t="s">
        <v>618</v>
      </c>
      <c r="P101" s="27"/>
      <c r="Q101" s="105" t="s">
        <v>818</v>
      </c>
      <c r="R101" s="99" t="s">
        <v>853</v>
      </c>
      <c r="S101" s="100" t="s">
        <v>488</v>
      </c>
    </row>
    <row r="102">
      <c r="G102" s="97">
        <v>46226.0</v>
      </c>
      <c r="H102" s="21">
        <v>14977.0</v>
      </c>
      <c r="I102" s="21">
        <v>14.7</v>
      </c>
      <c r="K102" s="13">
        <v>46197.0</v>
      </c>
      <c r="L102" s="21"/>
      <c r="M102" s="19"/>
      <c r="N102" s="19"/>
      <c r="O102" s="27" t="s">
        <v>618</v>
      </c>
      <c r="P102" s="27"/>
      <c r="Q102" s="105" t="s">
        <v>818</v>
      </c>
      <c r="R102" s="37"/>
      <c r="S102" s="37"/>
    </row>
    <row r="103">
      <c r="G103" s="97">
        <v>46227.0</v>
      </c>
      <c r="H103" s="21">
        <v>14977.0</v>
      </c>
      <c r="I103" s="21">
        <v>14.7</v>
      </c>
      <c r="K103" s="13">
        <v>46198.0</v>
      </c>
      <c r="L103" s="21" t="s">
        <v>485</v>
      </c>
      <c r="M103" s="19">
        <v>-284.0</v>
      </c>
      <c r="N103" s="19">
        <v>3795.01</v>
      </c>
      <c r="O103" s="27" t="s">
        <v>618</v>
      </c>
      <c r="P103" s="27"/>
      <c r="Q103" s="105" t="s">
        <v>818</v>
      </c>
      <c r="R103" s="40"/>
      <c r="S103" s="40"/>
    </row>
    <row r="104">
      <c r="G104" s="97">
        <v>46230.0</v>
      </c>
      <c r="H104" s="21">
        <v>15123.0</v>
      </c>
      <c r="I104" s="21">
        <v>20.1</v>
      </c>
      <c r="K104" s="13">
        <v>46199.0</v>
      </c>
      <c r="L104" s="21" t="s">
        <v>485</v>
      </c>
      <c r="M104" s="19">
        <v>-623.0</v>
      </c>
      <c r="N104" s="19">
        <v>3172.01</v>
      </c>
      <c r="O104" s="27" t="s">
        <v>618</v>
      </c>
      <c r="P104" s="27"/>
      <c r="Q104" s="105" t="s">
        <v>818</v>
      </c>
      <c r="R104" s="27" t="s">
        <v>819</v>
      </c>
      <c r="S104" s="27" t="s">
        <v>1024</v>
      </c>
    </row>
    <row r="105">
      <c r="G105" s="97">
        <v>46231.0</v>
      </c>
      <c r="H105" s="21">
        <v>15363.0</v>
      </c>
      <c r="I105" s="21">
        <v>6.1</v>
      </c>
      <c r="K105" s="13">
        <v>46202.0</v>
      </c>
      <c r="L105" s="21"/>
      <c r="M105" s="19"/>
      <c r="N105" s="19"/>
      <c r="O105" s="27" t="s">
        <v>618</v>
      </c>
      <c r="P105" s="27"/>
      <c r="Q105" s="105" t="s">
        <v>818</v>
      </c>
      <c r="R105" s="27" t="s">
        <v>1025</v>
      </c>
      <c r="S105" s="27" t="s">
        <v>1026</v>
      </c>
    </row>
    <row r="106">
      <c r="G106" s="97">
        <v>46232.0</v>
      </c>
      <c r="H106" s="21">
        <v>15422.0</v>
      </c>
      <c r="I106" s="21">
        <v>30.2</v>
      </c>
      <c r="K106" s="13">
        <v>46203.0</v>
      </c>
      <c r="L106" s="21"/>
      <c r="M106" s="19"/>
      <c r="N106" s="19"/>
      <c r="O106" s="27" t="s">
        <v>618</v>
      </c>
      <c r="P106" s="27"/>
      <c r="Q106" s="105" t="s">
        <v>818</v>
      </c>
      <c r="R106" s="27" t="s">
        <v>1018</v>
      </c>
      <c r="S106" s="27" t="s">
        <v>1015</v>
      </c>
    </row>
    <row r="107">
      <c r="G107" s="97">
        <v>46233.0</v>
      </c>
      <c r="H107" s="21">
        <v>15579.0</v>
      </c>
      <c r="I107" s="21">
        <v>14.5</v>
      </c>
      <c r="K107" s="13">
        <v>46204.0</v>
      </c>
      <c r="L107" s="21" t="s">
        <v>485</v>
      </c>
      <c r="M107" s="19">
        <v>-323.0</v>
      </c>
      <c r="N107" s="19">
        <v>2849.01</v>
      </c>
      <c r="O107" s="27" t="s">
        <v>618</v>
      </c>
      <c r="P107" s="27"/>
      <c r="Q107" s="105" t="s">
        <v>818</v>
      </c>
      <c r="R107" s="104" t="s">
        <v>853</v>
      </c>
      <c r="S107" s="104" t="s">
        <v>488</v>
      </c>
    </row>
    <row r="108">
      <c r="G108" s="97">
        <v>46234.0</v>
      </c>
      <c r="H108" s="21">
        <v>15654.0</v>
      </c>
      <c r="I108" s="21">
        <v>7.0</v>
      </c>
      <c r="K108" s="13">
        <v>46204.0</v>
      </c>
      <c r="L108" s="21"/>
      <c r="M108" s="19"/>
      <c r="N108" s="19"/>
      <c r="O108" s="27" t="s">
        <v>618</v>
      </c>
      <c r="P108" s="27"/>
      <c r="Q108" s="111" t="s">
        <v>1027</v>
      </c>
      <c r="R108" s="27" t="s">
        <v>1020</v>
      </c>
      <c r="S108" s="27" t="s">
        <v>1028</v>
      </c>
    </row>
    <row r="109">
      <c r="G109" s="97">
        <v>46237.0</v>
      </c>
      <c r="H109" s="21">
        <v>15858.0</v>
      </c>
      <c r="I109" s="21">
        <v>7.93</v>
      </c>
      <c r="K109" s="13">
        <v>46205.0</v>
      </c>
      <c r="L109" s="21" t="s">
        <v>485</v>
      </c>
      <c r="M109" s="19">
        <v>-323.0</v>
      </c>
      <c r="N109" s="19">
        <v>2526.01</v>
      </c>
      <c r="O109" s="27" t="s">
        <v>618</v>
      </c>
      <c r="P109" s="27"/>
      <c r="Q109" s="105" t="s">
        <v>818</v>
      </c>
      <c r="R109" s="99" t="s">
        <v>853</v>
      </c>
      <c r="S109" s="100" t="s">
        <v>488</v>
      </c>
    </row>
    <row r="110">
      <c r="G110" s="97">
        <v>46239.0</v>
      </c>
      <c r="H110" s="21">
        <v>15984.0</v>
      </c>
      <c r="I110" s="21">
        <v>56.33</v>
      </c>
      <c r="K110" s="13">
        <v>46209.0</v>
      </c>
      <c r="L110" s="21" t="s">
        <v>485</v>
      </c>
      <c r="M110" s="19">
        <v>-607.0</v>
      </c>
      <c r="N110" s="19">
        <v>1919.01</v>
      </c>
      <c r="O110" s="27" t="s">
        <v>618</v>
      </c>
      <c r="P110" s="27"/>
      <c r="Q110" s="105" t="s">
        <v>818</v>
      </c>
      <c r="R110" s="37"/>
      <c r="S110" s="37"/>
    </row>
    <row r="111">
      <c r="G111" s="97">
        <v>46247.0</v>
      </c>
      <c r="H111" s="21">
        <v>16126.0</v>
      </c>
      <c r="I111" s="21">
        <v>43.93</v>
      </c>
      <c r="K111" s="13">
        <v>46210.0</v>
      </c>
      <c r="L111" s="21" t="s">
        <v>485</v>
      </c>
      <c r="M111" s="19">
        <v>-323.0</v>
      </c>
      <c r="N111" s="19">
        <v>1596.01</v>
      </c>
      <c r="O111" s="27" t="s">
        <v>618</v>
      </c>
      <c r="P111" s="27"/>
      <c r="Q111" s="105" t="s">
        <v>818</v>
      </c>
      <c r="R111" s="40"/>
      <c r="S111" s="40"/>
    </row>
    <row r="112">
      <c r="G112" s="97">
        <v>46251.0</v>
      </c>
      <c r="H112" s="21">
        <v>16147.0</v>
      </c>
      <c r="I112" s="21">
        <v>31.83</v>
      </c>
      <c r="K112" s="13">
        <v>46211.0</v>
      </c>
      <c r="L112" s="21" t="s">
        <v>485</v>
      </c>
      <c r="M112" s="19">
        <v>-284.0</v>
      </c>
      <c r="N112" s="19">
        <v>1312.01</v>
      </c>
      <c r="O112" s="27" t="s">
        <v>618</v>
      </c>
      <c r="P112" s="27"/>
      <c r="Q112" s="105" t="s">
        <v>818</v>
      </c>
      <c r="R112" s="27" t="s">
        <v>1009</v>
      </c>
      <c r="S112" s="27" t="s">
        <v>1029</v>
      </c>
    </row>
    <row r="113">
      <c r="G113" s="97">
        <v>46252.0</v>
      </c>
      <c r="H113" s="21">
        <v>16349.0</v>
      </c>
      <c r="I113" s="21">
        <v>22.23</v>
      </c>
      <c r="K113" s="13">
        <v>46212.0</v>
      </c>
      <c r="L113" s="21"/>
      <c r="M113" s="19"/>
      <c r="N113" s="19"/>
      <c r="O113" s="27" t="s">
        <v>618</v>
      </c>
      <c r="P113" s="27"/>
      <c r="Q113" s="105" t="s">
        <v>818</v>
      </c>
      <c r="R113" s="27" t="s">
        <v>1030</v>
      </c>
      <c r="S113" s="27" t="s">
        <v>1031</v>
      </c>
    </row>
    <row r="114">
      <c r="G114" s="97">
        <v>46253.0</v>
      </c>
      <c r="H114" s="21">
        <v>16449.0</v>
      </c>
      <c r="I114" s="21">
        <v>12.23</v>
      </c>
      <c r="K114" s="13">
        <v>46212.0</v>
      </c>
      <c r="L114" s="21"/>
      <c r="M114" s="19"/>
      <c r="N114" s="19"/>
      <c r="O114" s="27" t="s">
        <v>618</v>
      </c>
      <c r="P114" s="27"/>
      <c r="Q114" s="105" t="s">
        <v>818</v>
      </c>
      <c r="R114" s="27" t="s">
        <v>994</v>
      </c>
      <c r="S114" s="27" t="s">
        <v>1031</v>
      </c>
    </row>
    <row r="115">
      <c r="G115" s="97">
        <v>46258.0</v>
      </c>
      <c r="H115" s="21">
        <v>16604.0</v>
      </c>
      <c r="I115" s="21">
        <v>1.73</v>
      </c>
      <c r="K115" s="13">
        <v>46216.0</v>
      </c>
      <c r="L115" s="21" t="s">
        <v>485</v>
      </c>
      <c r="M115" s="19">
        <v>-609.0</v>
      </c>
      <c r="N115" s="19">
        <v>703.01</v>
      </c>
      <c r="O115" s="27" t="s">
        <v>1032</v>
      </c>
      <c r="P115" s="27"/>
      <c r="Q115" s="105" t="s">
        <v>818</v>
      </c>
      <c r="R115" s="27" t="s">
        <v>1033</v>
      </c>
      <c r="S115" s="27" t="s">
        <v>1034</v>
      </c>
    </row>
    <row r="116">
      <c r="G116" s="97">
        <v>46259.0</v>
      </c>
      <c r="H116" s="21">
        <v>16782.0</v>
      </c>
      <c r="I116" s="21">
        <v>44.24</v>
      </c>
      <c r="K116" s="13">
        <v>46217.0</v>
      </c>
      <c r="L116" s="21"/>
      <c r="M116" s="19"/>
      <c r="N116" s="19"/>
      <c r="O116" s="27" t="s">
        <v>618</v>
      </c>
      <c r="P116" s="27"/>
      <c r="Q116" s="105" t="s">
        <v>818</v>
      </c>
      <c r="R116" s="27" t="s">
        <v>1035</v>
      </c>
      <c r="S116" s="27" t="s">
        <v>1015</v>
      </c>
    </row>
    <row r="117">
      <c r="G117" s="97">
        <v>46260.0</v>
      </c>
      <c r="H117" s="21">
        <v>16889.0</v>
      </c>
      <c r="I117" s="21">
        <v>32.54</v>
      </c>
      <c r="K117" s="13">
        <v>46218.0</v>
      </c>
      <c r="L117" s="21"/>
      <c r="M117" s="19"/>
      <c r="N117" s="19"/>
      <c r="O117" s="27" t="s">
        <v>618</v>
      </c>
      <c r="P117" s="27"/>
      <c r="Q117" s="105" t="s">
        <v>818</v>
      </c>
      <c r="R117" s="27" t="s">
        <v>1036</v>
      </c>
      <c r="S117" s="27" t="s">
        <v>1037</v>
      </c>
    </row>
    <row r="118">
      <c r="G118" s="97">
        <v>46261.0</v>
      </c>
      <c r="H118" s="21">
        <v>17061.0</v>
      </c>
      <c r="I118" s="21">
        <v>15.34</v>
      </c>
      <c r="K118" s="13">
        <v>46219.0</v>
      </c>
      <c r="L118" s="21"/>
      <c r="M118" s="19"/>
      <c r="N118" s="19"/>
      <c r="O118" s="27" t="s">
        <v>618</v>
      </c>
      <c r="P118" s="27"/>
      <c r="Q118" s="105" t="s">
        <v>818</v>
      </c>
      <c r="R118" s="27" t="s">
        <v>1038</v>
      </c>
      <c r="S118" s="27" t="s">
        <v>1039</v>
      </c>
    </row>
    <row r="119">
      <c r="G119" s="98">
        <v>46266.0</v>
      </c>
      <c r="H119" s="21">
        <v>17202.0</v>
      </c>
      <c r="I119" s="21">
        <v>11.24</v>
      </c>
      <c r="K119" s="13">
        <v>46219.0</v>
      </c>
      <c r="L119" s="21"/>
      <c r="M119" s="19"/>
      <c r="N119" s="19"/>
      <c r="O119" s="27" t="s">
        <v>618</v>
      </c>
      <c r="P119" s="27"/>
      <c r="Q119" s="105" t="s">
        <v>818</v>
      </c>
      <c r="R119" s="27" t="s">
        <v>994</v>
      </c>
      <c r="S119" s="27" t="s">
        <v>1031</v>
      </c>
    </row>
    <row r="120">
      <c r="G120" s="98">
        <v>46267.0</v>
      </c>
      <c r="H120" s="21">
        <v>17394.0</v>
      </c>
      <c r="I120" s="21">
        <v>3.17</v>
      </c>
      <c r="K120" s="13">
        <v>46219.0</v>
      </c>
      <c r="L120" s="21"/>
      <c r="M120" s="19"/>
      <c r="N120" s="19"/>
      <c r="O120" s="27" t="s">
        <v>618</v>
      </c>
      <c r="P120" s="27"/>
      <c r="Q120" s="105" t="s">
        <v>818</v>
      </c>
      <c r="R120" s="27" t="s">
        <v>1040</v>
      </c>
      <c r="S120" s="27" t="s">
        <v>1015</v>
      </c>
    </row>
    <row r="121">
      <c r="G121" s="98">
        <v>46268.0</v>
      </c>
      <c r="H121" s="21">
        <v>17437.0</v>
      </c>
      <c r="I121" s="21">
        <v>56.94</v>
      </c>
      <c r="K121" s="13">
        <v>46223.0</v>
      </c>
      <c r="L121" s="21"/>
      <c r="M121" s="19"/>
      <c r="N121" s="19"/>
      <c r="O121" s="27" t="s">
        <v>618</v>
      </c>
      <c r="P121" s="27"/>
      <c r="Q121" s="105" t="s">
        <v>818</v>
      </c>
      <c r="R121" s="27" t="s">
        <v>853</v>
      </c>
      <c r="S121" s="27" t="s">
        <v>488</v>
      </c>
    </row>
    <row r="122">
      <c r="G122" s="98">
        <v>46272.0</v>
      </c>
      <c r="H122" s="21">
        <v>17594.0</v>
      </c>
      <c r="I122" s="21">
        <v>41.24</v>
      </c>
      <c r="K122" s="13">
        <v>46223.0</v>
      </c>
      <c r="L122" s="21"/>
      <c r="M122" s="19"/>
      <c r="N122" s="19"/>
      <c r="O122" s="27" t="s">
        <v>618</v>
      </c>
      <c r="P122" s="27"/>
      <c r="Q122" s="105" t="s">
        <v>818</v>
      </c>
      <c r="R122" s="27" t="s">
        <v>1041</v>
      </c>
      <c r="S122" s="27" t="s">
        <v>1042</v>
      </c>
    </row>
    <row r="123">
      <c r="G123" s="98">
        <v>46273.0</v>
      </c>
      <c r="H123" s="21">
        <v>17734.0</v>
      </c>
      <c r="I123" s="21">
        <v>27.24</v>
      </c>
      <c r="K123" s="13">
        <v>46224.0</v>
      </c>
      <c r="L123" s="21"/>
      <c r="M123" s="19"/>
      <c r="N123" s="19"/>
      <c r="O123" s="27" t="s">
        <v>618</v>
      </c>
      <c r="P123" s="27"/>
      <c r="Q123" s="105" t="s">
        <v>818</v>
      </c>
      <c r="R123" s="27" t="s">
        <v>853</v>
      </c>
      <c r="S123" s="27" t="s">
        <v>488</v>
      </c>
    </row>
    <row r="124">
      <c r="G124" s="98">
        <v>46274.0</v>
      </c>
      <c r="H124" s="21">
        <v>17868.0</v>
      </c>
      <c r="I124" s="21">
        <v>14.84</v>
      </c>
      <c r="K124" s="13">
        <v>46224.0</v>
      </c>
      <c r="L124" s="21"/>
      <c r="M124" s="19"/>
      <c r="N124" s="19"/>
      <c r="O124" s="27" t="s">
        <v>618</v>
      </c>
      <c r="P124" s="27"/>
      <c r="Q124" s="105" t="s">
        <v>818</v>
      </c>
      <c r="R124" s="27" t="s">
        <v>1022</v>
      </c>
      <c r="S124" s="27" t="s">
        <v>1043</v>
      </c>
    </row>
    <row r="125">
      <c r="G125" s="97">
        <v>46275.0</v>
      </c>
      <c r="H125" s="21">
        <v>17989.0</v>
      </c>
      <c r="I125" s="21">
        <v>12.74</v>
      </c>
      <c r="K125" s="13">
        <v>46225.0</v>
      </c>
      <c r="L125" s="21"/>
      <c r="M125" s="19"/>
      <c r="N125" s="19"/>
      <c r="O125" s="129" t="s">
        <v>1032</v>
      </c>
      <c r="P125" s="27"/>
      <c r="Q125" s="130" t="s">
        <v>818</v>
      </c>
      <c r="R125" s="129" t="s">
        <v>1033</v>
      </c>
      <c r="S125" s="129" t="s">
        <v>1044</v>
      </c>
    </row>
    <row r="126">
      <c r="G126" s="97">
        <v>46279.0</v>
      </c>
      <c r="H126" s="21">
        <v>18140.0</v>
      </c>
      <c r="I126" s="21">
        <v>27.64</v>
      </c>
      <c r="K126" s="13">
        <v>46226.0</v>
      </c>
      <c r="L126" s="21"/>
      <c r="M126" s="19"/>
      <c r="N126" s="19"/>
      <c r="O126" s="37"/>
      <c r="P126" s="27"/>
      <c r="Q126" s="37"/>
      <c r="R126" s="37"/>
      <c r="S126" s="37"/>
    </row>
    <row r="127">
      <c r="G127" s="97">
        <v>46280.0</v>
      </c>
      <c r="H127" s="21">
        <v>18190.0</v>
      </c>
      <c r="I127" s="21">
        <v>22.64</v>
      </c>
      <c r="K127" s="13">
        <v>46227.0</v>
      </c>
      <c r="L127" s="21"/>
      <c r="M127" s="19"/>
      <c r="N127" s="19"/>
      <c r="O127" s="40"/>
      <c r="P127" s="27"/>
      <c r="Q127" s="40"/>
      <c r="R127" s="40"/>
      <c r="S127" s="40"/>
    </row>
    <row r="128">
      <c r="G128" s="97">
        <v>46281.0</v>
      </c>
      <c r="H128" s="21">
        <v>18301.0</v>
      </c>
      <c r="I128" s="21">
        <v>22.54</v>
      </c>
      <c r="K128" s="13">
        <v>46230.0</v>
      </c>
      <c r="L128" s="21"/>
      <c r="M128" s="19"/>
      <c r="N128" s="19"/>
      <c r="O128" s="27" t="s">
        <v>618</v>
      </c>
      <c r="P128" s="27"/>
      <c r="Q128" s="105" t="s">
        <v>818</v>
      </c>
      <c r="R128" s="27" t="s">
        <v>853</v>
      </c>
      <c r="S128" s="27" t="s">
        <v>488</v>
      </c>
    </row>
    <row r="129">
      <c r="G129" s="97">
        <v>46282.0</v>
      </c>
      <c r="H129" s="21">
        <v>18443.0</v>
      </c>
      <c r="I129" s="21">
        <v>48.88</v>
      </c>
      <c r="K129" s="13">
        <v>46231.0</v>
      </c>
      <c r="L129" s="21" t="s">
        <v>485</v>
      </c>
      <c r="M129" s="19">
        <v>-323.0</v>
      </c>
      <c r="N129" s="19">
        <v>380.01</v>
      </c>
      <c r="O129" s="27" t="s">
        <v>618</v>
      </c>
      <c r="P129" s="27"/>
      <c r="Q129" s="105" t="s">
        <v>818</v>
      </c>
      <c r="R129" s="27" t="s">
        <v>1045</v>
      </c>
      <c r="S129" s="27" t="s">
        <v>1046</v>
      </c>
    </row>
    <row r="130">
      <c r="G130" s="97">
        <v>46286.0</v>
      </c>
      <c r="H130" s="21">
        <v>18599.0</v>
      </c>
      <c r="I130" s="21">
        <v>33.28</v>
      </c>
      <c r="K130" s="13">
        <v>46232.0</v>
      </c>
      <c r="L130" s="21" t="s">
        <v>1010</v>
      </c>
      <c r="M130" s="19">
        <f>10000</f>
        <v>10000</v>
      </c>
      <c r="N130" s="19">
        <v>10380.01</v>
      </c>
      <c r="O130" s="27" t="s">
        <v>487</v>
      </c>
      <c r="P130" s="27"/>
      <c r="Q130" s="105" t="s">
        <v>818</v>
      </c>
      <c r="R130" s="27" t="s">
        <v>487</v>
      </c>
      <c r="S130" s="27" t="s">
        <v>850</v>
      </c>
    </row>
    <row r="131">
      <c r="G131" s="97">
        <v>46287.0</v>
      </c>
      <c r="H131" s="21">
        <v>18708.0</v>
      </c>
      <c r="I131" s="21">
        <v>21.38</v>
      </c>
      <c r="K131" s="13">
        <v>46233.0</v>
      </c>
      <c r="L131" s="21" t="s">
        <v>485</v>
      </c>
      <c r="M131" s="19">
        <v>-284.0</v>
      </c>
      <c r="N131" s="19">
        <v>10096.01</v>
      </c>
      <c r="O131" s="27" t="s">
        <v>618</v>
      </c>
      <c r="P131" s="27"/>
      <c r="Q131" s="105" t="s">
        <v>818</v>
      </c>
      <c r="R131" s="27" t="s">
        <v>853</v>
      </c>
      <c r="S131" s="27" t="s">
        <v>488</v>
      </c>
    </row>
    <row r="132">
      <c r="G132" s="97">
        <v>46288.0</v>
      </c>
      <c r="H132" s="21">
        <v>18844.0</v>
      </c>
      <c r="I132" s="21">
        <v>6.78</v>
      </c>
      <c r="K132" s="13">
        <v>46234.0</v>
      </c>
      <c r="L132" s="21" t="s">
        <v>485</v>
      </c>
      <c r="M132" s="19">
        <v>-300.0</v>
      </c>
      <c r="N132" s="19">
        <v>9796.01</v>
      </c>
      <c r="O132" s="27" t="s">
        <v>891</v>
      </c>
      <c r="P132" s="27"/>
      <c r="Q132" s="27"/>
      <c r="R132" s="27" t="s">
        <v>509</v>
      </c>
      <c r="S132" s="27" t="s">
        <v>894</v>
      </c>
    </row>
    <row r="133">
      <c r="G133" s="97">
        <v>46289.0</v>
      </c>
      <c r="H133" s="21">
        <v>19052.0</v>
      </c>
      <c r="I133" s="21">
        <v>6.18</v>
      </c>
      <c r="K133" s="13">
        <v>46237.0</v>
      </c>
      <c r="L133" s="21"/>
      <c r="M133" s="19"/>
      <c r="N133" s="19"/>
      <c r="O133" s="27" t="s">
        <v>618</v>
      </c>
      <c r="P133" s="27"/>
      <c r="Q133" s="105" t="s">
        <v>818</v>
      </c>
      <c r="R133" s="27" t="s">
        <v>1047</v>
      </c>
      <c r="S133" s="27" t="s">
        <v>1048</v>
      </c>
    </row>
    <row r="134">
      <c r="G134" s="97">
        <v>46293.0</v>
      </c>
      <c r="H134" s="21">
        <v>19178.0</v>
      </c>
      <c r="I134" s="21">
        <v>45.62</v>
      </c>
      <c r="K134" s="13">
        <v>46237.0</v>
      </c>
      <c r="L134" s="21"/>
      <c r="M134" s="19"/>
      <c r="N134" s="19"/>
      <c r="O134" s="27" t="s">
        <v>618</v>
      </c>
      <c r="P134" s="27"/>
      <c r="Q134" s="105" t="s">
        <v>818</v>
      </c>
      <c r="R134" s="27" t="s">
        <v>853</v>
      </c>
      <c r="S134" s="27" t="s">
        <v>488</v>
      </c>
    </row>
    <row r="135">
      <c r="G135" s="97">
        <v>46294.0</v>
      </c>
      <c r="H135" s="21">
        <v>19343.0</v>
      </c>
      <c r="I135" s="21">
        <v>29.12</v>
      </c>
      <c r="K135" s="13">
        <v>46239.0</v>
      </c>
      <c r="L135" s="21"/>
      <c r="M135" s="19"/>
      <c r="N135" s="19"/>
      <c r="O135" s="27" t="s">
        <v>618</v>
      </c>
      <c r="P135" s="27"/>
      <c r="Q135" s="105" t="s">
        <v>818</v>
      </c>
      <c r="R135" s="27" t="s">
        <v>853</v>
      </c>
      <c r="S135" s="27" t="s">
        <v>488</v>
      </c>
    </row>
    <row r="136">
      <c r="G136" s="97">
        <v>46295.0</v>
      </c>
      <c r="H136" s="12"/>
      <c r="I136" s="12"/>
      <c r="K136" s="13">
        <v>46247.0</v>
      </c>
      <c r="L136" s="21"/>
      <c r="M136" s="19"/>
      <c r="N136" s="19"/>
      <c r="O136" s="27" t="s">
        <v>618</v>
      </c>
      <c r="P136" s="27"/>
      <c r="Q136" s="105" t="s">
        <v>818</v>
      </c>
      <c r="R136" s="27" t="s">
        <v>853</v>
      </c>
      <c r="S136" s="27" t="s">
        <v>488</v>
      </c>
    </row>
    <row r="137">
      <c r="G137" s="12"/>
      <c r="H137" s="12"/>
      <c r="I137" s="12"/>
      <c r="K137" s="13">
        <v>46251.0</v>
      </c>
      <c r="L137" s="21"/>
      <c r="M137" s="19"/>
      <c r="N137" s="19"/>
      <c r="O137" s="27" t="s">
        <v>618</v>
      </c>
      <c r="P137" s="27"/>
      <c r="Q137" s="105" t="s">
        <v>818</v>
      </c>
      <c r="R137" s="27" t="s">
        <v>853</v>
      </c>
      <c r="S137" s="27" t="s">
        <v>488</v>
      </c>
    </row>
    <row r="138">
      <c r="G138" s="12"/>
      <c r="H138" s="12"/>
      <c r="I138" s="12"/>
      <c r="K138" s="13">
        <v>46252.0</v>
      </c>
      <c r="L138" s="21" t="s">
        <v>485</v>
      </c>
      <c r="M138" s="19">
        <v>-272.0</v>
      </c>
      <c r="N138" s="19">
        <v>9524.01</v>
      </c>
      <c r="O138" s="27" t="s">
        <v>844</v>
      </c>
      <c r="P138" s="27"/>
      <c r="Q138" s="105" t="s">
        <v>818</v>
      </c>
      <c r="R138" s="27" t="s">
        <v>1011</v>
      </c>
      <c r="S138" s="27" t="s">
        <v>1049</v>
      </c>
    </row>
    <row r="139">
      <c r="G139" s="12"/>
      <c r="H139" s="12"/>
      <c r="I139" s="12"/>
      <c r="K139" s="13">
        <v>46253.0</v>
      </c>
      <c r="L139" s="21" t="s">
        <v>485</v>
      </c>
      <c r="M139" s="19">
        <v>-311.0</v>
      </c>
      <c r="N139" s="19">
        <v>9213.01</v>
      </c>
      <c r="O139" s="27" t="s">
        <v>844</v>
      </c>
      <c r="P139" s="27"/>
      <c r="Q139" s="105" t="s">
        <v>818</v>
      </c>
      <c r="R139" s="27" t="s">
        <v>1011</v>
      </c>
      <c r="S139" s="27" t="s">
        <v>1049</v>
      </c>
    </row>
    <row r="140">
      <c r="G140" s="12"/>
      <c r="H140" s="12"/>
      <c r="I140" s="12"/>
      <c r="K140" s="13">
        <v>46258.0</v>
      </c>
      <c r="L140" s="21" t="s">
        <v>485</v>
      </c>
      <c r="M140" s="19">
        <v>-646.0</v>
      </c>
      <c r="N140" s="19">
        <v>8567.01</v>
      </c>
      <c r="O140" s="27" t="s">
        <v>618</v>
      </c>
      <c r="P140" s="27"/>
      <c r="Q140" s="105" t="s">
        <v>818</v>
      </c>
      <c r="R140" s="27" t="s">
        <v>853</v>
      </c>
      <c r="S140" s="27" t="s">
        <v>488</v>
      </c>
    </row>
    <row r="141">
      <c r="G141" s="12"/>
      <c r="H141" s="12"/>
      <c r="I141" s="12"/>
      <c r="K141" s="13">
        <v>46259.0</v>
      </c>
      <c r="L141" s="21" t="s">
        <v>485</v>
      </c>
      <c r="M141" s="19">
        <v>-488.0</v>
      </c>
      <c r="N141" s="19">
        <v>8079.01</v>
      </c>
      <c r="O141" s="27" t="s">
        <v>844</v>
      </c>
      <c r="P141" s="27"/>
      <c r="Q141" s="105" t="s">
        <v>818</v>
      </c>
      <c r="R141" s="27" t="s">
        <v>845</v>
      </c>
      <c r="S141" s="27" t="s">
        <v>1050</v>
      </c>
    </row>
    <row r="142">
      <c r="G142" s="12"/>
      <c r="H142" s="12"/>
      <c r="I142" s="12"/>
      <c r="K142" s="13">
        <v>46260.0</v>
      </c>
      <c r="L142" s="21" t="s">
        <v>485</v>
      </c>
      <c r="M142" s="19">
        <v>-272.0</v>
      </c>
      <c r="N142" s="19">
        <v>-7807.01</v>
      </c>
      <c r="O142" s="27" t="s">
        <v>844</v>
      </c>
      <c r="P142" s="27"/>
      <c r="Q142" s="105" t="s">
        <v>818</v>
      </c>
      <c r="R142" s="27" t="s">
        <v>845</v>
      </c>
      <c r="S142" s="27" t="s">
        <v>1050</v>
      </c>
    </row>
    <row r="143">
      <c r="G143" s="12"/>
      <c r="H143" s="12"/>
      <c r="I143" s="12"/>
      <c r="K143" s="13">
        <v>46261.0</v>
      </c>
      <c r="L143" s="21" t="s">
        <v>485</v>
      </c>
      <c r="M143" s="19">
        <v>-345.0</v>
      </c>
      <c r="N143" s="19">
        <v>7462.01</v>
      </c>
      <c r="O143" s="27" t="s">
        <v>618</v>
      </c>
      <c r="P143" s="27"/>
      <c r="Q143" s="105" t="s">
        <v>818</v>
      </c>
      <c r="R143" s="27" t="s">
        <v>853</v>
      </c>
      <c r="S143" s="27" t="s">
        <v>488</v>
      </c>
    </row>
    <row r="144">
      <c r="G144" s="12"/>
      <c r="H144" s="12"/>
      <c r="I144" s="12"/>
      <c r="K144" s="13">
        <v>46266.0</v>
      </c>
      <c r="L144" s="21" t="s">
        <v>485</v>
      </c>
      <c r="M144" s="19">
        <v>-323.0</v>
      </c>
      <c r="N144" s="19">
        <v>7139.01</v>
      </c>
      <c r="O144" s="27" t="s">
        <v>618</v>
      </c>
      <c r="P144" s="27"/>
      <c r="Q144" s="105" t="s">
        <v>818</v>
      </c>
      <c r="R144" s="27" t="s">
        <v>853</v>
      </c>
      <c r="S144" s="27" t="s">
        <v>488</v>
      </c>
    </row>
    <row r="145">
      <c r="G145" s="12"/>
      <c r="H145" s="12"/>
      <c r="I145" s="12"/>
      <c r="K145" s="13">
        <v>46267.0</v>
      </c>
      <c r="L145" s="21"/>
      <c r="M145" s="19"/>
      <c r="N145" s="19"/>
      <c r="O145" s="27" t="s">
        <v>618</v>
      </c>
      <c r="P145" s="27"/>
      <c r="Q145" s="105" t="s">
        <v>818</v>
      </c>
      <c r="R145" s="27" t="s">
        <v>982</v>
      </c>
      <c r="S145" s="27" t="s">
        <v>1029</v>
      </c>
    </row>
    <row r="146">
      <c r="G146" s="12"/>
      <c r="H146" s="12"/>
      <c r="I146" s="12"/>
      <c r="K146" s="13">
        <v>46268.0</v>
      </c>
      <c r="L146" s="21"/>
      <c r="M146" s="19"/>
      <c r="N146" s="19"/>
      <c r="O146" s="27" t="s">
        <v>487</v>
      </c>
      <c r="P146" s="27"/>
      <c r="Q146" s="105" t="s">
        <v>818</v>
      </c>
      <c r="R146" s="27" t="s">
        <v>487</v>
      </c>
      <c r="S146" s="27" t="s">
        <v>1051</v>
      </c>
    </row>
    <row r="147">
      <c r="G147" s="12"/>
      <c r="H147" s="12"/>
      <c r="I147" s="12"/>
      <c r="K147" s="13">
        <v>46272.0</v>
      </c>
      <c r="L147" s="21" t="s">
        <v>485</v>
      </c>
      <c r="M147" s="19">
        <v>-542.0</v>
      </c>
      <c r="N147" s="19">
        <v>6597.01</v>
      </c>
      <c r="O147" s="132" t="s">
        <v>618</v>
      </c>
      <c r="P147" s="27"/>
      <c r="Q147" s="130" t="s">
        <v>818</v>
      </c>
      <c r="R147" s="99" t="s">
        <v>853</v>
      </c>
      <c r="S147" s="100" t="s">
        <v>488</v>
      </c>
    </row>
    <row r="148">
      <c r="G148" s="12"/>
      <c r="H148" s="12"/>
      <c r="I148" s="12"/>
      <c r="K148" s="13">
        <v>46273.0</v>
      </c>
      <c r="L148" s="21"/>
      <c r="M148" s="19"/>
      <c r="N148" s="19"/>
      <c r="O148" s="37"/>
      <c r="P148" s="27"/>
      <c r="Q148" s="37"/>
      <c r="R148" s="37"/>
      <c r="S148" s="37"/>
    </row>
    <row r="149">
      <c r="G149" s="12"/>
      <c r="H149" s="12"/>
      <c r="I149" s="12"/>
      <c r="K149" s="13">
        <v>46274.0</v>
      </c>
      <c r="L149" s="21"/>
      <c r="M149" s="19"/>
      <c r="N149" s="19"/>
      <c r="O149" s="37"/>
      <c r="P149" s="27"/>
      <c r="Q149" s="37"/>
      <c r="R149" s="37"/>
      <c r="S149" s="37"/>
    </row>
    <row r="150">
      <c r="G150" s="12"/>
      <c r="H150" s="12"/>
      <c r="I150" s="12"/>
      <c r="K150" s="13">
        <v>46275.0</v>
      </c>
      <c r="L150" s="21"/>
      <c r="M150" s="19"/>
      <c r="N150" s="19"/>
      <c r="O150" s="40"/>
      <c r="P150" s="27"/>
      <c r="Q150" s="40"/>
      <c r="R150" s="40"/>
      <c r="S150" s="40"/>
    </row>
    <row r="151">
      <c r="G151" s="12"/>
      <c r="H151" s="12"/>
      <c r="I151" s="12"/>
      <c r="K151" s="13">
        <v>46279.0</v>
      </c>
      <c r="L151" s="21"/>
      <c r="M151" s="19">
        <v>-323.0</v>
      </c>
      <c r="N151" s="19">
        <v>6274.01</v>
      </c>
      <c r="O151" s="27" t="s">
        <v>618</v>
      </c>
      <c r="P151" s="27"/>
      <c r="Q151" s="105" t="s">
        <v>818</v>
      </c>
      <c r="R151" s="27" t="s">
        <v>1052</v>
      </c>
      <c r="S151" s="27" t="s">
        <v>1053</v>
      </c>
    </row>
    <row r="152">
      <c r="G152" s="12"/>
      <c r="H152" s="12"/>
      <c r="I152" s="12"/>
      <c r="K152" s="13">
        <v>46280.0</v>
      </c>
      <c r="L152" s="21"/>
      <c r="M152" s="19"/>
      <c r="N152" s="19"/>
      <c r="O152" s="27" t="s">
        <v>487</v>
      </c>
      <c r="P152" s="27"/>
      <c r="Q152" s="105" t="s">
        <v>818</v>
      </c>
      <c r="R152" s="27" t="s">
        <v>487</v>
      </c>
      <c r="S152" s="27" t="s">
        <v>850</v>
      </c>
    </row>
    <row r="153">
      <c r="G153" s="12"/>
      <c r="H153" s="12"/>
      <c r="I153" s="12"/>
      <c r="K153" s="13">
        <v>46281.0</v>
      </c>
      <c r="L153" s="21"/>
      <c r="M153" s="19"/>
      <c r="N153" s="19"/>
      <c r="O153" s="27" t="s">
        <v>618</v>
      </c>
      <c r="P153" s="27"/>
      <c r="Q153" s="105" t="s">
        <v>818</v>
      </c>
      <c r="R153" s="27" t="s">
        <v>853</v>
      </c>
      <c r="S153" s="27" t="s">
        <v>488</v>
      </c>
    </row>
    <row r="154">
      <c r="K154" s="13">
        <v>46282.0</v>
      </c>
      <c r="L154" s="21"/>
      <c r="M154" s="19">
        <v>-323.0</v>
      </c>
      <c r="N154" s="19">
        <v>5951.01</v>
      </c>
      <c r="O154" s="27" t="s">
        <v>618</v>
      </c>
      <c r="P154" s="27"/>
      <c r="Q154" s="105" t="s">
        <v>818</v>
      </c>
      <c r="R154" s="27" t="s">
        <v>853</v>
      </c>
      <c r="S154" s="27" t="s">
        <v>488</v>
      </c>
    </row>
    <row r="155">
      <c r="K155" s="13">
        <v>46286.0</v>
      </c>
      <c r="L155" s="21"/>
      <c r="M155" s="19">
        <v>-607.0</v>
      </c>
      <c r="N155" s="19">
        <v>5344.01</v>
      </c>
      <c r="O155" s="27" t="s">
        <v>618</v>
      </c>
      <c r="P155" s="27"/>
      <c r="Q155" s="27" t="s">
        <v>818</v>
      </c>
      <c r="R155" s="27" t="s">
        <v>853</v>
      </c>
      <c r="S155" s="27" t="s">
        <v>488</v>
      </c>
    </row>
    <row r="156">
      <c r="K156" s="13">
        <v>46287.0</v>
      </c>
      <c r="L156" s="21"/>
      <c r="M156" s="19">
        <v>-191.0</v>
      </c>
      <c r="N156" s="19">
        <v>5153.01</v>
      </c>
      <c r="O156" s="27" t="s">
        <v>618</v>
      </c>
      <c r="P156" s="27"/>
      <c r="Q156" s="27" t="s">
        <v>818</v>
      </c>
      <c r="R156" s="27" t="s">
        <v>1054</v>
      </c>
      <c r="S156" s="27" t="s">
        <v>1055</v>
      </c>
    </row>
    <row r="157">
      <c r="K157" s="13">
        <v>46288.0</v>
      </c>
      <c r="L157" s="21"/>
      <c r="M157" s="19"/>
      <c r="N157" s="19"/>
      <c r="O157" s="27" t="s">
        <v>618</v>
      </c>
      <c r="P157" s="27"/>
      <c r="Q157" s="27" t="s">
        <v>818</v>
      </c>
      <c r="R157" s="27" t="s">
        <v>1054</v>
      </c>
      <c r="S157" s="27" t="s">
        <v>1056</v>
      </c>
    </row>
    <row r="158">
      <c r="K158" s="13">
        <v>46288.0</v>
      </c>
      <c r="L158" s="21"/>
      <c r="M158" s="19"/>
      <c r="N158" s="19"/>
      <c r="O158" s="27" t="s">
        <v>618</v>
      </c>
      <c r="P158" s="27"/>
      <c r="Q158" s="27" t="s">
        <v>818</v>
      </c>
      <c r="R158" s="27" t="s">
        <v>1018</v>
      </c>
      <c r="S158" s="27" t="s">
        <v>1056</v>
      </c>
    </row>
    <row r="159">
      <c r="K159" s="13">
        <v>46289.0</v>
      </c>
      <c r="L159" s="21"/>
      <c r="M159" s="19"/>
      <c r="N159" s="19"/>
      <c r="O159" s="27" t="s">
        <v>618</v>
      </c>
      <c r="P159" s="27"/>
      <c r="Q159" s="27" t="s">
        <v>818</v>
      </c>
      <c r="R159" s="27" t="s">
        <v>1057</v>
      </c>
      <c r="S159" s="27" t="s">
        <v>1058</v>
      </c>
    </row>
    <row r="160">
      <c r="K160" s="13">
        <v>46289.0</v>
      </c>
      <c r="L160" s="21"/>
      <c r="M160" s="19"/>
      <c r="N160" s="19"/>
      <c r="O160" s="27" t="s">
        <v>618</v>
      </c>
      <c r="P160" s="27"/>
      <c r="Q160" s="27" t="s">
        <v>818</v>
      </c>
      <c r="R160" s="27" t="s">
        <v>994</v>
      </c>
      <c r="S160" s="27" t="s">
        <v>1056</v>
      </c>
    </row>
    <row r="161">
      <c r="K161" s="13">
        <v>46293.0</v>
      </c>
      <c r="L161" s="21"/>
      <c r="M161" s="19"/>
      <c r="N161" s="19"/>
      <c r="O161" s="27" t="s">
        <v>618</v>
      </c>
      <c r="P161" s="27"/>
      <c r="Q161" s="27" t="s">
        <v>818</v>
      </c>
      <c r="R161" s="27" t="s">
        <v>853</v>
      </c>
      <c r="S161" s="27" t="s">
        <v>488</v>
      </c>
    </row>
    <row r="162">
      <c r="K162" s="13">
        <v>46294.0</v>
      </c>
      <c r="L162" s="21"/>
      <c r="M162" s="19">
        <v>-136.0</v>
      </c>
      <c r="N162" s="19">
        <v>5017.01</v>
      </c>
      <c r="O162" s="27" t="s">
        <v>844</v>
      </c>
      <c r="P162" s="27"/>
      <c r="Q162" s="27" t="s">
        <v>818</v>
      </c>
      <c r="R162" s="27" t="s">
        <v>1059</v>
      </c>
      <c r="S162" s="27" t="s">
        <v>1060</v>
      </c>
    </row>
    <row r="163">
      <c r="K163" s="13">
        <v>46295.0</v>
      </c>
      <c r="L163" s="21"/>
      <c r="M163" s="19">
        <v>-136.0</v>
      </c>
      <c r="N163" s="19">
        <v>4881.01</v>
      </c>
      <c r="O163" s="27" t="s">
        <v>844</v>
      </c>
      <c r="P163" s="27"/>
      <c r="Q163" s="27" t="s">
        <v>818</v>
      </c>
      <c r="R163" s="27" t="s">
        <v>1059</v>
      </c>
      <c r="S163" s="27" t="s">
        <v>1060</v>
      </c>
    </row>
    <row r="164">
      <c r="K164" s="13">
        <v>46295.0</v>
      </c>
      <c r="L164" s="21"/>
      <c r="M164" s="19">
        <v>-171.0</v>
      </c>
      <c r="N164" s="19">
        <v>4710.01</v>
      </c>
      <c r="O164" s="27" t="s">
        <v>618</v>
      </c>
      <c r="P164" s="27"/>
      <c r="Q164" s="27" t="s">
        <v>818</v>
      </c>
      <c r="R164" s="27" t="s">
        <v>994</v>
      </c>
      <c r="S164" s="27" t="s">
        <v>767</v>
      </c>
    </row>
    <row r="165">
      <c r="K165" s="13"/>
      <c r="L165" s="21"/>
      <c r="M165" s="19"/>
      <c r="N165" s="19"/>
      <c r="O165" s="27"/>
      <c r="P165" s="27"/>
      <c r="Q165" s="27"/>
      <c r="R165" s="27"/>
      <c r="S165" s="27"/>
    </row>
    <row r="166">
      <c r="K166" s="13"/>
      <c r="L166" s="21"/>
      <c r="M166" s="19"/>
      <c r="N166" s="19"/>
      <c r="O166" s="27"/>
      <c r="P166" s="27"/>
      <c r="Q166" s="27"/>
      <c r="R166" s="27"/>
      <c r="S166" s="27"/>
    </row>
    <row r="167">
      <c r="K167" s="13"/>
      <c r="L167" s="21"/>
      <c r="M167" s="19"/>
      <c r="N167" s="19"/>
      <c r="O167" s="27"/>
      <c r="P167" s="27"/>
      <c r="Q167" s="27"/>
      <c r="R167" s="27"/>
      <c r="S167" s="27"/>
    </row>
    <row r="168">
      <c r="K168" s="13"/>
      <c r="L168" s="21"/>
      <c r="M168" s="19"/>
      <c r="N168" s="19"/>
      <c r="O168" s="27"/>
      <c r="P168" s="27"/>
      <c r="Q168" s="27"/>
      <c r="R168" s="27"/>
      <c r="S168" s="27"/>
    </row>
    <row r="169">
      <c r="K169" s="13"/>
      <c r="L169" s="21"/>
      <c r="M169" s="19"/>
      <c r="N169" s="19"/>
      <c r="O169" s="27"/>
      <c r="P169" s="27"/>
      <c r="Q169" s="27"/>
      <c r="R169" s="27"/>
      <c r="S169" s="27"/>
    </row>
    <row r="170">
      <c r="K170" s="13"/>
      <c r="L170" s="21"/>
      <c r="M170" s="19"/>
      <c r="N170" s="19"/>
      <c r="O170" s="27"/>
      <c r="P170" s="27"/>
      <c r="Q170" s="27"/>
      <c r="R170" s="27"/>
      <c r="S170" s="27"/>
    </row>
    <row r="171">
      <c r="K171" s="13"/>
      <c r="L171" s="21"/>
      <c r="M171" s="19"/>
      <c r="N171" s="19"/>
      <c r="O171" s="27"/>
      <c r="P171" s="27"/>
      <c r="Q171" s="27"/>
      <c r="R171" s="27"/>
      <c r="S171" s="27"/>
    </row>
    <row r="172">
      <c r="K172" s="13"/>
      <c r="L172" s="21"/>
      <c r="M172" s="19"/>
      <c r="N172" s="19"/>
      <c r="O172" s="27"/>
      <c r="P172" s="27"/>
      <c r="Q172" s="27"/>
      <c r="R172" s="27"/>
      <c r="S172" s="27"/>
    </row>
    <row r="173">
      <c r="K173" s="13"/>
      <c r="L173" s="21"/>
      <c r="M173" s="19"/>
      <c r="N173" s="19"/>
      <c r="O173" s="27"/>
      <c r="P173" s="27"/>
      <c r="Q173" s="27"/>
      <c r="R173" s="27"/>
      <c r="S173" s="27"/>
    </row>
    <row r="174">
      <c r="K174" s="13"/>
      <c r="L174" s="21"/>
      <c r="M174" s="19"/>
      <c r="N174" s="19"/>
      <c r="O174" s="27"/>
      <c r="P174" s="27"/>
      <c r="Q174" s="27"/>
      <c r="R174" s="27"/>
      <c r="S174" s="27"/>
    </row>
    <row r="175">
      <c r="K175" s="13"/>
      <c r="L175" s="21"/>
      <c r="M175" s="19"/>
      <c r="N175" s="19"/>
      <c r="O175" s="27"/>
      <c r="P175" s="27"/>
      <c r="Q175" s="27"/>
      <c r="R175" s="27"/>
      <c r="S175" s="27"/>
    </row>
    <row r="176">
      <c r="K176" s="13"/>
      <c r="L176" s="21"/>
      <c r="M176" s="19"/>
      <c r="N176" s="19"/>
      <c r="O176" s="27"/>
      <c r="P176" s="27"/>
      <c r="Q176" s="27"/>
      <c r="R176" s="27"/>
      <c r="S176" s="27"/>
    </row>
  </sheetData>
  <mergeCells count="16">
    <mergeCell ref="R23:R25"/>
    <mergeCell ref="S23:S25"/>
    <mergeCell ref="R93:R95"/>
    <mergeCell ref="S93:S95"/>
    <mergeCell ref="R101:R103"/>
    <mergeCell ref="S101:S103"/>
    <mergeCell ref="S109:S111"/>
    <mergeCell ref="R147:R150"/>
    <mergeCell ref="S147:S150"/>
    <mergeCell ref="R109:R111"/>
    <mergeCell ref="O125:O127"/>
    <mergeCell ref="Q125:Q127"/>
    <mergeCell ref="R125:R127"/>
    <mergeCell ref="S125:S127"/>
    <mergeCell ref="O147:O150"/>
    <mergeCell ref="Q147:Q150"/>
  </mergeCells>
  <dataValidations>
    <dataValidation type="list" allowBlank="1" showErrorMessage="1" sqref="L3:L164">
      <formula1>"Toll,RELOAD"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6.5"/>
    <col customWidth="1" min="3" max="3" width="31.75"/>
    <col customWidth="1" min="16" max="16" width="6.75"/>
    <col customWidth="1" min="17" max="17" width="22.25"/>
    <col customWidth="1" min="18" max="18" width="23.5"/>
    <col customWidth="1" min="19" max="19" width="32.0"/>
  </cols>
  <sheetData>
    <row r="1">
      <c r="A1" s="2" t="s">
        <v>1</v>
      </c>
      <c r="B1" s="1"/>
      <c r="D1" s="3" t="s">
        <v>2</v>
      </c>
      <c r="E1" s="3" t="s">
        <v>3</v>
      </c>
      <c r="F1" s="3" t="s">
        <v>5</v>
      </c>
      <c r="G1" s="3" t="s">
        <v>6</v>
      </c>
      <c r="H1" s="3" t="s">
        <v>7</v>
      </c>
      <c r="I1" s="6" t="s">
        <v>9</v>
      </c>
      <c r="K1" s="10" t="s">
        <v>869</v>
      </c>
      <c r="L1" s="10"/>
      <c r="M1" s="10"/>
      <c r="N1" s="10"/>
      <c r="O1" s="10"/>
      <c r="P1" s="10"/>
      <c r="Q1" s="10"/>
      <c r="R1" s="10"/>
      <c r="S1" s="10"/>
    </row>
    <row r="2">
      <c r="A2" s="1" t="s">
        <v>21</v>
      </c>
      <c r="B2" s="2" t="s">
        <v>870</v>
      </c>
      <c r="D2" s="12"/>
      <c r="E2" s="12"/>
      <c r="F2" s="12"/>
      <c r="G2" s="12"/>
      <c r="H2" s="12"/>
      <c r="I2" s="12"/>
      <c r="K2" s="6" t="s">
        <v>8</v>
      </c>
      <c r="L2" s="6" t="s">
        <v>27</v>
      </c>
      <c r="M2" s="6" t="s">
        <v>28</v>
      </c>
      <c r="N2" s="6" t="s">
        <v>30</v>
      </c>
      <c r="O2" s="6" t="s">
        <v>25</v>
      </c>
      <c r="P2" s="6" t="s">
        <v>24</v>
      </c>
      <c r="Q2" s="6" t="s">
        <v>36</v>
      </c>
      <c r="R2" s="6" t="s">
        <v>35</v>
      </c>
      <c r="S2" s="6" t="s">
        <v>33</v>
      </c>
    </row>
    <row r="3">
      <c r="A3" s="1" t="s">
        <v>40</v>
      </c>
      <c r="B3" s="2" t="s">
        <v>102</v>
      </c>
      <c r="D3" s="12"/>
      <c r="E3" s="12"/>
      <c r="F3" s="12"/>
      <c r="G3" s="12"/>
      <c r="H3" s="12"/>
      <c r="I3" s="12"/>
      <c r="K3" s="13">
        <v>46049.0</v>
      </c>
      <c r="L3" s="21"/>
      <c r="M3" s="19"/>
      <c r="N3" s="19"/>
      <c r="O3" s="19"/>
      <c r="P3" s="19"/>
      <c r="Q3" s="19" t="s">
        <v>879</v>
      </c>
      <c r="R3" s="19" t="s">
        <v>880</v>
      </c>
      <c r="S3" s="19"/>
    </row>
    <row r="4">
      <c r="A4" s="1" t="s">
        <v>50</v>
      </c>
      <c r="B4" s="2" t="s">
        <v>163</v>
      </c>
      <c r="D4" s="12"/>
      <c r="E4" s="12"/>
      <c r="F4" s="12"/>
      <c r="G4" s="12"/>
      <c r="H4" s="12"/>
      <c r="I4" s="12"/>
      <c r="K4" s="13">
        <v>46050.0</v>
      </c>
      <c r="L4" s="21"/>
      <c r="M4" s="19"/>
      <c r="N4" s="19">
        <f>N3+M4</f>
        <v>0</v>
      </c>
      <c r="O4" s="27"/>
      <c r="P4" s="27"/>
      <c r="Q4" s="19" t="s">
        <v>879</v>
      </c>
      <c r="R4" s="19" t="s">
        <v>880</v>
      </c>
      <c r="S4" s="19"/>
    </row>
    <row r="5">
      <c r="A5" s="1" t="s">
        <v>66</v>
      </c>
      <c r="B5" s="2" t="s">
        <v>170</v>
      </c>
      <c r="D5" s="12"/>
      <c r="E5" s="12"/>
      <c r="F5" s="12"/>
      <c r="G5" s="12"/>
      <c r="H5" s="12"/>
      <c r="I5" s="12"/>
      <c r="K5" s="13">
        <v>46051.0</v>
      </c>
      <c r="L5" s="21"/>
      <c r="M5" s="19"/>
      <c r="N5" s="19"/>
      <c r="O5" s="27"/>
      <c r="P5" s="27"/>
      <c r="Q5" s="19" t="s">
        <v>879</v>
      </c>
      <c r="R5" s="19" t="s">
        <v>893</v>
      </c>
      <c r="S5" s="19"/>
    </row>
    <row r="6">
      <c r="A6" s="1" t="s">
        <v>70</v>
      </c>
      <c r="B6" s="2" t="s">
        <v>895</v>
      </c>
      <c r="D6" s="12"/>
      <c r="E6" s="12"/>
      <c r="F6" s="12"/>
      <c r="G6" s="12"/>
      <c r="H6" s="12"/>
      <c r="I6" s="12"/>
      <c r="K6" s="13">
        <v>46052.0</v>
      </c>
      <c r="L6" s="21"/>
      <c r="M6" s="19"/>
      <c r="N6" s="19"/>
      <c r="O6" s="27"/>
      <c r="P6" s="27"/>
      <c r="Q6" s="19" t="s">
        <v>879</v>
      </c>
      <c r="R6" s="19" t="s">
        <v>897</v>
      </c>
      <c r="S6" s="19"/>
    </row>
    <row r="7">
      <c r="K7" s="13">
        <v>46055.0</v>
      </c>
      <c r="L7" s="21"/>
      <c r="M7" s="19"/>
      <c r="N7" s="19"/>
      <c r="O7" s="27"/>
      <c r="P7" s="27"/>
      <c r="Q7" s="19" t="s">
        <v>879</v>
      </c>
      <c r="R7" s="19" t="s">
        <v>900</v>
      </c>
      <c r="S7" s="19"/>
    </row>
    <row r="8">
      <c r="A8" s="6" t="s">
        <v>8</v>
      </c>
      <c r="B8" s="6" t="s">
        <v>84</v>
      </c>
      <c r="C8" s="6" t="s">
        <v>25</v>
      </c>
      <c r="D8" s="6" t="s">
        <v>86</v>
      </c>
      <c r="E8" s="6" t="s">
        <v>87</v>
      </c>
      <c r="G8" s="6" t="s">
        <v>8</v>
      </c>
      <c r="H8" s="6" t="s">
        <v>13</v>
      </c>
      <c r="I8" s="6" t="s">
        <v>88</v>
      </c>
      <c r="K8" s="101">
        <v>46056.0</v>
      </c>
      <c r="L8" s="21"/>
      <c r="M8" s="19"/>
      <c r="N8" s="19"/>
      <c r="O8" s="27"/>
      <c r="P8" s="27"/>
      <c r="Q8" s="19" t="s">
        <v>879</v>
      </c>
      <c r="R8" s="19" t="s">
        <v>726</v>
      </c>
      <c r="S8" s="19"/>
    </row>
    <row r="9">
      <c r="A9" s="102">
        <v>46064.0</v>
      </c>
      <c r="B9" s="12"/>
      <c r="C9" s="21" t="s">
        <v>908</v>
      </c>
      <c r="D9" s="21" t="s">
        <v>509</v>
      </c>
      <c r="E9" s="21" t="s">
        <v>510</v>
      </c>
      <c r="G9" s="102">
        <v>46049.0</v>
      </c>
      <c r="H9" s="21">
        <v>187.0</v>
      </c>
      <c r="I9" s="21">
        <v>49.9</v>
      </c>
      <c r="K9" s="13">
        <v>46057.0</v>
      </c>
      <c r="L9" s="21"/>
      <c r="M9" s="19"/>
      <c r="N9" s="19"/>
      <c r="O9" s="27"/>
      <c r="P9" s="27"/>
      <c r="Q9" s="19" t="s">
        <v>879</v>
      </c>
      <c r="R9" s="19" t="s">
        <v>909</v>
      </c>
      <c r="S9" s="19"/>
    </row>
    <row r="10">
      <c r="A10" s="103">
        <v>46123.0</v>
      </c>
      <c r="B10" s="12"/>
      <c r="C10" s="21" t="s">
        <v>912</v>
      </c>
      <c r="D10" s="21" t="s">
        <v>509</v>
      </c>
      <c r="E10" s="21" t="s">
        <v>510</v>
      </c>
      <c r="G10" s="102">
        <v>46056.0</v>
      </c>
      <c r="H10" s="21">
        <v>616.0</v>
      </c>
      <c r="I10" s="21">
        <v>40.0</v>
      </c>
      <c r="K10" s="13">
        <v>46058.0</v>
      </c>
      <c r="L10" s="21"/>
      <c r="M10" s="19"/>
      <c r="N10" s="19"/>
      <c r="O10" s="27"/>
      <c r="P10" s="27"/>
      <c r="Q10" s="19" t="s">
        <v>879</v>
      </c>
      <c r="R10" s="19" t="s">
        <v>917</v>
      </c>
      <c r="S10" s="19"/>
    </row>
    <row r="11">
      <c r="A11" s="102">
        <v>46192.0</v>
      </c>
      <c r="B11" s="12"/>
      <c r="C11" s="21" t="s">
        <v>918</v>
      </c>
      <c r="D11" s="21" t="s">
        <v>509</v>
      </c>
      <c r="E11" s="21" t="s">
        <v>510</v>
      </c>
      <c r="G11" s="102">
        <v>46062.0</v>
      </c>
      <c r="H11" s="21">
        <v>1097.0</v>
      </c>
      <c r="I11" s="21">
        <v>54.58</v>
      </c>
      <c r="K11" s="13">
        <v>46059.0</v>
      </c>
      <c r="L11" s="21"/>
      <c r="M11" s="19"/>
      <c r="N11" s="19"/>
      <c r="O11" s="27"/>
      <c r="P11" s="27"/>
      <c r="Q11" s="19" t="s">
        <v>879</v>
      </c>
      <c r="R11" s="19" t="s">
        <v>920</v>
      </c>
      <c r="S11" s="19"/>
    </row>
    <row r="12">
      <c r="A12" s="102">
        <v>46288.0</v>
      </c>
      <c r="B12" s="12"/>
      <c r="C12" s="21" t="s">
        <v>922</v>
      </c>
      <c r="D12" s="21" t="s">
        <v>509</v>
      </c>
      <c r="E12" s="21" t="s">
        <v>510</v>
      </c>
      <c r="G12" s="102">
        <v>46069.0</v>
      </c>
      <c r="H12" s="21">
        <v>1547.0</v>
      </c>
      <c r="I12" s="21">
        <v>53.17</v>
      </c>
      <c r="K12" s="13">
        <v>46062.0</v>
      </c>
      <c r="L12" s="21"/>
      <c r="M12" s="19"/>
      <c r="N12" s="19"/>
      <c r="O12" s="27"/>
      <c r="P12" s="27"/>
      <c r="Q12" s="19" t="s">
        <v>879</v>
      </c>
      <c r="R12" s="19" t="s">
        <v>909</v>
      </c>
      <c r="S12" s="19"/>
    </row>
    <row r="13">
      <c r="A13" s="12"/>
      <c r="B13" s="12"/>
      <c r="C13" s="12"/>
      <c r="D13" s="12"/>
      <c r="E13" s="12"/>
      <c r="G13" s="102">
        <v>46072.0</v>
      </c>
      <c r="H13" s="21">
        <v>1983.0</v>
      </c>
      <c r="I13" s="21">
        <v>55.04</v>
      </c>
      <c r="K13" s="13">
        <v>46063.0</v>
      </c>
      <c r="L13" s="21"/>
      <c r="M13" s="19"/>
      <c r="N13" s="19"/>
      <c r="O13" s="27"/>
      <c r="P13" s="27"/>
      <c r="Q13" s="19" t="s">
        <v>879</v>
      </c>
      <c r="R13" s="19" t="s">
        <v>924</v>
      </c>
      <c r="S13" s="19"/>
    </row>
    <row r="14">
      <c r="A14" s="12"/>
      <c r="B14" s="12"/>
      <c r="C14" s="12"/>
      <c r="D14" s="12"/>
      <c r="E14" s="12"/>
      <c r="G14" s="102">
        <v>46084.0</v>
      </c>
      <c r="H14" s="21">
        <v>2411.0</v>
      </c>
      <c r="I14" s="21">
        <v>56.45</v>
      </c>
      <c r="K14" s="13">
        <v>46064.0</v>
      </c>
      <c r="L14" s="21"/>
      <c r="M14" s="19"/>
      <c r="N14" s="19"/>
      <c r="O14" s="27"/>
      <c r="P14" s="27"/>
      <c r="Q14" s="19" t="s">
        <v>879</v>
      </c>
      <c r="R14" s="19" t="s">
        <v>927</v>
      </c>
      <c r="S14" s="19"/>
    </row>
    <row r="15">
      <c r="A15" s="12"/>
      <c r="B15" s="12"/>
      <c r="C15" s="12"/>
      <c r="D15" s="12"/>
      <c r="E15" s="12"/>
      <c r="G15" s="102">
        <v>46090.0</v>
      </c>
      <c r="H15" s="21">
        <v>2981.0</v>
      </c>
      <c r="I15" s="21">
        <v>58.31</v>
      </c>
      <c r="K15" s="13">
        <v>46065.0</v>
      </c>
      <c r="L15" s="21"/>
      <c r="M15" s="19"/>
      <c r="N15" s="19"/>
      <c r="O15" s="27"/>
      <c r="P15" s="27"/>
      <c r="Q15" s="19" t="s">
        <v>879</v>
      </c>
      <c r="R15" s="19" t="s">
        <v>917</v>
      </c>
      <c r="S15" s="19"/>
    </row>
    <row r="16">
      <c r="A16" s="12"/>
      <c r="B16" s="12"/>
      <c r="C16" s="12"/>
      <c r="D16" s="12"/>
      <c r="E16" s="12"/>
      <c r="G16" s="102">
        <v>46097.0</v>
      </c>
      <c r="H16" s="21">
        <v>3426.0</v>
      </c>
      <c r="I16" s="21">
        <v>53.84</v>
      </c>
      <c r="K16" s="13">
        <v>46069.0</v>
      </c>
      <c r="L16" s="21"/>
      <c r="M16" s="19"/>
      <c r="N16" s="19"/>
      <c r="O16" s="27"/>
      <c r="P16" s="27"/>
      <c r="Q16" s="19" t="s">
        <v>879</v>
      </c>
      <c r="R16" s="19" t="s">
        <v>929</v>
      </c>
      <c r="S16" s="19"/>
    </row>
    <row r="17">
      <c r="A17" s="12"/>
      <c r="B17" s="12"/>
      <c r="C17" s="12"/>
      <c r="D17" s="12"/>
      <c r="E17" s="12"/>
      <c r="G17" s="102">
        <v>46100.0</v>
      </c>
      <c r="H17" s="21">
        <v>3856.0</v>
      </c>
      <c r="I17" s="21">
        <v>50.56</v>
      </c>
      <c r="K17" s="13">
        <v>46071.0</v>
      </c>
      <c r="L17" s="21"/>
      <c r="M17" s="19"/>
      <c r="N17" s="19"/>
      <c r="O17" s="27"/>
      <c r="P17" s="27"/>
      <c r="Q17" s="19" t="s">
        <v>879</v>
      </c>
      <c r="R17" s="19" t="s">
        <v>920</v>
      </c>
      <c r="S17" s="19"/>
    </row>
    <row r="18">
      <c r="A18" s="12"/>
      <c r="B18" s="12"/>
      <c r="C18" s="12"/>
      <c r="D18" s="12"/>
      <c r="E18" s="12"/>
      <c r="G18" s="102">
        <v>46106.0</v>
      </c>
      <c r="H18" s="21">
        <v>4364.0</v>
      </c>
      <c r="I18" s="21">
        <v>53.6</v>
      </c>
      <c r="K18" s="13">
        <v>46072.0</v>
      </c>
      <c r="L18" s="21"/>
      <c r="M18" s="19"/>
      <c r="N18" s="19"/>
      <c r="O18" s="27"/>
      <c r="P18" s="27"/>
      <c r="Q18" s="19" t="s">
        <v>879</v>
      </c>
      <c r="R18" s="19" t="s">
        <v>935</v>
      </c>
      <c r="S18" s="19"/>
    </row>
    <row r="19">
      <c r="A19" s="12"/>
      <c r="B19" s="12"/>
      <c r="C19" s="12"/>
      <c r="D19" s="12"/>
      <c r="E19" s="12"/>
      <c r="G19" s="102">
        <v>46125.0</v>
      </c>
      <c r="H19" s="21">
        <v>4828.0</v>
      </c>
      <c r="I19" s="21">
        <v>56.0</v>
      </c>
      <c r="K19" s="13">
        <v>46073.0</v>
      </c>
      <c r="L19" s="21"/>
      <c r="M19" s="19"/>
      <c r="N19" s="19"/>
      <c r="O19" s="27"/>
      <c r="P19" s="27"/>
      <c r="Q19" s="19" t="s">
        <v>879</v>
      </c>
      <c r="R19" s="19" t="s">
        <v>924</v>
      </c>
      <c r="S19" s="19"/>
    </row>
    <row r="20">
      <c r="A20" s="12"/>
      <c r="B20" s="12"/>
      <c r="C20" s="12"/>
      <c r="D20" s="12"/>
      <c r="E20" s="12"/>
      <c r="G20" s="102">
        <v>46128.0</v>
      </c>
      <c r="H20" s="21">
        <v>5174.0</v>
      </c>
      <c r="I20" s="21">
        <v>40.0</v>
      </c>
      <c r="K20" s="13">
        <v>46077.0</v>
      </c>
      <c r="L20" s="21"/>
      <c r="M20" s="19"/>
      <c r="N20" s="19"/>
      <c r="O20" s="27"/>
      <c r="P20" s="27"/>
      <c r="Q20" s="19" t="s">
        <v>879</v>
      </c>
      <c r="R20" s="19" t="s">
        <v>909</v>
      </c>
      <c r="S20" s="19"/>
    </row>
    <row r="21">
      <c r="A21" s="12"/>
      <c r="B21" s="12"/>
      <c r="C21" s="12"/>
      <c r="D21" s="12"/>
      <c r="E21" s="12"/>
      <c r="G21" s="102">
        <v>46139.0</v>
      </c>
      <c r="H21" s="21">
        <v>5654.0</v>
      </c>
      <c r="I21" s="21">
        <v>55.38</v>
      </c>
      <c r="K21" s="13">
        <v>46079.0</v>
      </c>
      <c r="L21" s="21"/>
      <c r="M21" s="19"/>
      <c r="N21" s="19"/>
      <c r="O21" s="27"/>
      <c r="P21" s="27"/>
      <c r="Q21" s="19" t="s">
        <v>879</v>
      </c>
      <c r="R21" s="19" t="s">
        <v>917</v>
      </c>
      <c r="S21" s="19"/>
    </row>
    <row r="22">
      <c r="A22" s="12"/>
      <c r="B22" s="12"/>
      <c r="C22" s="12"/>
      <c r="D22" s="12"/>
      <c r="E22" s="12"/>
      <c r="G22" s="102">
        <v>46142.0</v>
      </c>
      <c r="H22" s="21">
        <v>6147.0</v>
      </c>
      <c r="I22" s="21">
        <v>45.0</v>
      </c>
      <c r="K22" s="13">
        <v>46083.0</v>
      </c>
      <c r="L22" s="21"/>
      <c r="M22" s="19"/>
      <c r="N22" s="19"/>
      <c r="O22" s="27"/>
      <c r="P22" s="27"/>
      <c r="Q22" s="19" t="s">
        <v>879</v>
      </c>
      <c r="R22" s="19" t="s">
        <v>917</v>
      </c>
      <c r="S22" s="19"/>
    </row>
    <row r="23">
      <c r="A23" s="12"/>
      <c r="B23" s="12"/>
      <c r="C23" s="12"/>
      <c r="D23" s="12"/>
      <c r="E23" s="12"/>
      <c r="G23" s="102">
        <v>46147.0</v>
      </c>
      <c r="H23" s="21">
        <v>6502.0</v>
      </c>
      <c r="I23" s="21">
        <v>40.0</v>
      </c>
      <c r="K23" s="13">
        <v>46085.0</v>
      </c>
      <c r="L23" s="21"/>
      <c r="M23" s="19"/>
      <c r="N23" s="19"/>
      <c r="O23" s="27"/>
      <c r="P23" s="27"/>
      <c r="Q23" s="19" t="s">
        <v>879</v>
      </c>
      <c r="R23" s="19" t="s">
        <v>924</v>
      </c>
      <c r="S23" s="19"/>
    </row>
    <row r="24">
      <c r="A24" s="12"/>
      <c r="B24" s="12"/>
      <c r="C24" s="12"/>
      <c r="D24" s="12"/>
      <c r="E24" s="12"/>
      <c r="G24" s="102">
        <v>46153.0</v>
      </c>
      <c r="H24" s="21">
        <v>6921.0</v>
      </c>
      <c r="I24" s="21">
        <v>50.0</v>
      </c>
      <c r="K24" s="13">
        <v>46087.0</v>
      </c>
      <c r="L24" s="21"/>
      <c r="M24" s="19"/>
      <c r="N24" s="19"/>
      <c r="O24" s="27"/>
      <c r="P24" s="27"/>
      <c r="Q24" s="19" t="s">
        <v>879</v>
      </c>
      <c r="R24" s="19" t="s">
        <v>909</v>
      </c>
      <c r="S24" s="19"/>
    </row>
    <row r="25">
      <c r="A25" s="12"/>
      <c r="B25" s="12"/>
      <c r="C25" s="12"/>
      <c r="D25" s="12"/>
      <c r="E25" s="12"/>
      <c r="G25" s="102">
        <v>46160.0</v>
      </c>
      <c r="H25" s="21">
        <v>7307.0</v>
      </c>
      <c r="I25" s="21">
        <v>53.0</v>
      </c>
      <c r="K25" s="13">
        <v>46090.0</v>
      </c>
      <c r="L25" s="21"/>
      <c r="M25" s="19"/>
      <c r="N25" s="19"/>
      <c r="O25" s="27"/>
      <c r="P25" s="27"/>
      <c r="Q25" s="19" t="s">
        <v>879</v>
      </c>
      <c r="R25" s="19" t="s">
        <v>946</v>
      </c>
      <c r="S25" s="19"/>
    </row>
    <row r="26">
      <c r="A26" s="12"/>
      <c r="B26" s="12"/>
      <c r="C26" s="12"/>
      <c r="D26" s="12"/>
      <c r="E26" s="12"/>
      <c r="G26" s="102">
        <v>46163.0</v>
      </c>
      <c r="H26" s="21">
        <v>7798.0</v>
      </c>
      <c r="I26" s="21">
        <v>25.0</v>
      </c>
      <c r="K26" s="101">
        <v>46091.0</v>
      </c>
      <c r="L26" s="21"/>
      <c r="M26" s="19"/>
      <c r="N26" s="19"/>
      <c r="O26" s="27"/>
      <c r="P26" s="27"/>
      <c r="Q26" s="19" t="s">
        <v>879</v>
      </c>
      <c r="R26" s="19" t="s">
        <v>909</v>
      </c>
      <c r="S26" s="19"/>
    </row>
    <row r="27">
      <c r="A27" s="12"/>
      <c r="B27" s="12"/>
      <c r="C27" s="12"/>
      <c r="D27" s="12"/>
      <c r="E27" s="12"/>
      <c r="G27" s="102">
        <v>46167.0</v>
      </c>
      <c r="H27" s="21">
        <v>8024.0</v>
      </c>
      <c r="I27" s="21">
        <v>50.0</v>
      </c>
      <c r="K27" s="13">
        <v>46092.0</v>
      </c>
      <c r="L27" s="21"/>
      <c r="M27" s="19"/>
      <c r="N27" s="19"/>
      <c r="O27" s="27"/>
      <c r="P27" s="27"/>
      <c r="Q27" s="19" t="s">
        <v>879</v>
      </c>
      <c r="R27" s="19" t="s">
        <v>924</v>
      </c>
      <c r="S27" s="19"/>
    </row>
    <row r="28">
      <c r="A28" s="12"/>
      <c r="B28" s="12"/>
      <c r="C28" s="12"/>
      <c r="D28" s="12"/>
      <c r="E28" s="12"/>
      <c r="G28" s="102">
        <v>46170.0</v>
      </c>
      <c r="H28" s="21">
        <v>8510.0</v>
      </c>
      <c r="I28" s="21">
        <v>56.0</v>
      </c>
      <c r="K28" s="13">
        <v>46093.0</v>
      </c>
      <c r="L28" s="21"/>
      <c r="M28" s="19"/>
      <c r="N28" s="19"/>
      <c r="O28" s="19"/>
      <c r="P28" s="27"/>
      <c r="Q28" s="19" t="s">
        <v>879</v>
      </c>
      <c r="R28" s="19" t="s">
        <v>917</v>
      </c>
      <c r="S28" s="19"/>
    </row>
    <row r="29">
      <c r="G29" s="102">
        <v>46177.0</v>
      </c>
      <c r="H29" s="21">
        <v>8892.0</v>
      </c>
      <c r="I29" s="21">
        <v>40.0</v>
      </c>
      <c r="K29" s="13">
        <v>46097.0</v>
      </c>
      <c r="L29" s="21"/>
      <c r="M29" s="19"/>
      <c r="N29" s="19"/>
      <c r="O29" s="27"/>
      <c r="P29" s="27"/>
      <c r="Q29" s="19" t="s">
        <v>879</v>
      </c>
      <c r="R29" s="19" t="s">
        <v>909</v>
      </c>
      <c r="S29" s="19"/>
    </row>
    <row r="30">
      <c r="G30" s="102">
        <v>46184.0</v>
      </c>
      <c r="H30" s="21">
        <v>9364.0</v>
      </c>
      <c r="I30" s="21">
        <v>56.1</v>
      </c>
      <c r="K30" s="13">
        <v>46098.0</v>
      </c>
      <c r="L30" s="21"/>
      <c r="M30" s="19"/>
      <c r="N30" s="19"/>
      <c r="O30" s="27"/>
      <c r="P30" s="27"/>
      <c r="Q30" s="19" t="s">
        <v>879</v>
      </c>
      <c r="R30" s="19" t="s">
        <v>909</v>
      </c>
      <c r="S30" s="19"/>
    </row>
    <row r="31">
      <c r="G31" s="102">
        <v>46190.0</v>
      </c>
      <c r="H31" s="21">
        <v>9861.0</v>
      </c>
      <c r="I31" s="21">
        <v>50.0</v>
      </c>
      <c r="K31" s="13">
        <v>46099.0</v>
      </c>
      <c r="L31" s="21"/>
      <c r="M31" s="19"/>
      <c r="N31" s="19"/>
      <c r="O31" s="27"/>
      <c r="P31" s="27"/>
      <c r="Q31" s="19" t="s">
        <v>879</v>
      </c>
      <c r="R31" s="19" t="s">
        <v>909</v>
      </c>
      <c r="S31" s="19"/>
    </row>
    <row r="32">
      <c r="G32" s="102">
        <v>46196.0</v>
      </c>
      <c r="H32" s="21">
        <v>10339.0</v>
      </c>
      <c r="I32" s="21">
        <v>45.0</v>
      </c>
      <c r="K32" s="13">
        <v>46100.0</v>
      </c>
      <c r="L32" s="21"/>
      <c r="M32" s="19"/>
      <c r="N32" s="19"/>
      <c r="O32" s="27"/>
      <c r="P32" s="27"/>
      <c r="Q32" s="19" t="s">
        <v>879</v>
      </c>
      <c r="R32" s="19" t="s">
        <v>962</v>
      </c>
      <c r="S32" s="19"/>
    </row>
    <row r="33">
      <c r="G33" s="102">
        <v>46202.0</v>
      </c>
      <c r="H33" s="21">
        <v>16693.0</v>
      </c>
      <c r="I33" s="21">
        <v>50.0</v>
      </c>
      <c r="K33" s="13">
        <v>46104.0</v>
      </c>
      <c r="L33" s="21"/>
      <c r="M33" s="19"/>
      <c r="N33" s="19"/>
      <c r="O33" s="27"/>
      <c r="P33" s="27"/>
      <c r="Q33" s="19" t="s">
        <v>879</v>
      </c>
      <c r="R33" s="19" t="s">
        <v>909</v>
      </c>
      <c r="S33" s="19"/>
    </row>
    <row r="34">
      <c r="G34" s="102">
        <v>46204.0</v>
      </c>
      <c r="H34" s="21">
        <v>11169.0</v>
      </c>
      <c r="I34" s="21">
        <v>49.21</v>
      </c>
      <c r="K34" s="13">
        <v>46105.0</v>
      </c>
      <c r="L34" s="21"/>
      <c r="M34" s="19"/>
      <c r="N34" s="19"/>
      <c r="O34" s="27"/>
      <c r="P34" s="27"/>
      <c r="Q34" s="19" t="s">
        <v>879</v>
      </c>
      <c r="R34" s="19" t="s">
        <v>909</v>
      </c>
      <c r="S34" s="19"/>
    </row>
    <row r="35">
      <c r="G35" s="102">
        <v>46210.0</v>
      </c>
      <c r="H35" s="21">
        <v>11498.0</v>
      </c>
      <c r="I35" s="21">
        <v>30.0</v>
      </c>
      <c r="K35" s="13">
        <v>46106.0</v>
      </c>
      <c r="L35" s="21"/>
      <c r="M35" s="19"/>
      <c r="N35" s="19"/>
      <c r="O35" s="27"/>
      <c r="P35" s="27"/>
      <c r="Q35" s="19" t="s">
        <v>879</v>
      </c>
      <c r="R35" s="19" t="s">
        <v>909</v>
      </c>
      <c r="S35" s="19"/>
    </row>
    <row r="36">
      <c r="G36" s="102">
        <v>46216.0</v>
      </c>
      <c r="H36" s="21">
        <v>12013.0</v>
      </c>
      <c r="I36" s="21">
        <v>30.0</v>
      </c>
      <c r="K36" s="13">
        <v>46112.0</v>
      </c>
      <c r="L36" s="21"/>
      <c r="M36" s="19"/>
      <c r="N36" s="19"/>
      <c r="O36" s="27"/>
      <c r="P36" s="27"/>
      <c r="Q36" s="19" t="s">
        <v>879</v>
      </c>
      <c r="R36" s="19" t="s">
        <v>924</v>
      </c>
      <c r="S36" s="19"/>
    </row>
    <row r="37">
      <c r="G37" s="102">
        <v>46218.0</v>
      </c>
      <c r="H37" s="12"/>
      <c r="I37" s="21">
        <v>40.0</v>
      </c>
      <c r="K37" s="13">
        <v>46119.0</v>
      </c>
      <c r="L37" s="21"/>
      <c r="M37" s="19"/>
      <c r="N37" s="19"/>
      <c r="O37" s="27"/>
      <c r="P37" s="27"/>
      <c r="Q37" s="19" t="s">
        <v>879</v>
      </c>
      <c r="R37" s="19" t="s">
        <v>909</v>
      </c>
      <c r="S37" s="19"/>
    </row>
    <row r="38">
      <c r="G38" s="102">
        <v>46223.0</v>
      </c>
      <c r="H38" s="21">
        <v>12646.0</v>
      </c>
      <c r="I38" s="21">
        <v>40.0</v>
      </c>
      <c r="K38" s="13">
        <v>46120.0</v>
      </c>
      <c r="L38" s="21"/>
      <c r="M38" s="19"/>
      <c r="N38" s="19"/>
      <c r="O38" s="27"/>
      <c r="P38" s="27"/>
      <c r="Q38" s="19" t="s">
        <v>879</v>
      </c>
      <c r="R38" s="27" t="s">
        <v>969</v>
      </c>
      <c r="S38" s="19"/>
    </row>
    <row r="39">
      <c r="G39" s="102">
        <v>46226.0</v>
      </c>
      <c r="H39" s="21">
        <v>13004.0</v>
      </c>
      <c r="I39" s="21">
        <v>30.0</v>
      </c>
      <c r="K39" s="13">
        <v>46125.0</v>
      </c>
      <c r="L39" s="21"/>
      <c r="M39" s="19"/>
      <c r="N39" s="19"/>
      <c r="O39" s="27"/>
      <c r="P39" s="27"/>
      <c r="Q39" s="19" t="s">
        <v>879</v>
      </c>
      <c r="R39" s="27" t="s">
        <v>909</v>
      </c>
      <c r="S39" s="27"/>
    </row>
    <row r="40">
      <c r="G40" s="102">
        <v>46231.0</v>
      </c>
      <c r="H40" s="21">
        <v>13279.0</v>
      </c>
      <c r="I40" s="21">
        <v>20.0</v>
      </c>
      <c r="K40" s="13">
        <v>46126.0</v>
      </c>
      <c r="L40" s="21"/>
      <c r="M40" s="19"/>
      <c r="N40" s="19"/>
      <c r="O40" s="27"/>
      <c r="P40" s="27"/>
      <c r="Q40" s="19" t="s">
        <v>879</v>
      </c>
      <c r="R40" s="27" t="s">
        <v>924</v>
      </c>
      <c r="S40" s="27"/>
    </row>
    <row r="41">
      <c r="G41" s="102">
        <v>46233.0</v>
      </c>
      <c r="H41" s="21">
        <v>13464.0</v>
      </c>
      <c r="I41" s="21">
        <v>30.0</v>
      </c>
      <c r="K41" s="13">
        <v>46127.0</v>
      </c>
      <c r="L41" s="21"/>
      <c r="M41" s="19"/>
      <c r="N41" s="19"/>
      <c r="O41" s="27"/>
      <c r="P41" s="27"/>
      <c r="Q41" s="19" t="s">
        <v>879</v>
      </c>
      <c r="R41" s="27" t="s">
        <v>909</v>
      </c>
      <c r="S41" s="27"/>
    </row>
    <row r="42">
      <c r="G42" s="102">
        <v>46238.0</v>
      </c>
      <c r="H42" s="21">
        <v>13766.0</v>
      </c>
      <c r="I42" s="21">
        <v>58.09</v>
      </c>
      <c r="K42" s="13">
        <v>46128.0</v>
      </c>
      <c r="L42" s="21"/>
      <c r="M42" s="19"/>
      <c r="N42" s="19"/>
      <c r="O42" s="27"/>
      <c r="P42" s="27"/>
      <c r="Q42" s="19" t="s">
        <v>879</v>
      </c>
      <c r="R42" s="27" t="s">
        <v>946</v>
      </c>
      <c r="S42" s="27"/>
    </row>
    <row r="43">
      <c r="G43" s="102">
        <v>46252.0</v>
      </c>
      <c r="H43" s="21">
        <v>14307.0</v>
      </c>
      <c r="I43" s="21">
        <v>57.07</v>
      </c>
      <c r="K43" s="13">
        <v>46135.0</v>
      </c>
      <c r="L43" s="21"/>
      <c r="M43" s="19"/>
      <c r="N43" s="19"/>
      <c r="O43" s="27"/>
      <c r="P43" s="27"/>
      <c r="Q43" s="19" t="s">
        <v>879</v>
      </c>
      <c r="R43" s="27" t="s">
        <v>981</v>
      </c>
      <c r="S43" s="27"/>
    </row>
    <row r="44">
      <c r="G44" s="102">
        <v>46261.0</v>
      </c>
      <c r="H44" s="21">
        <v>14840.0</v>
      </c>
      <c r="I44" s="21">
        <v>30.0</v>
      </c>
      <c r="K44" s="13">
        <v>46136.0</v>
      </c>
      <c r="L44" s="21"/>
      <c r="M44" s="19"/>
      <c r="N44" s="19"/>
      <c r="O44" s="27"/>
      <c r="P44" s="27"/>
      <c r="Q44" s="19" t="s">
        <v>879</v>
      </c>
      <c r="R44" s="27" t="s">
        <v>909</v>
      </c>
      <c r="S44" s="27"/>
    </row>
    <row r="45">
      <c r="G45" s="102">
        <v>46275.0</v>
      </c>
      <c r="H45" s="21">
        <v>15144.0</v>
      </c>
      <c r="I45" s="21">
        <v>57.77</v>
      </c>
      <c r="K45" s="13">
        <v>46139.0</v>
      </c>
      <c r="L45" s="21"/>
      <c r="M45" s="19"/>
      <c r="N45" s="19"/>
      <c r="O45" s="27"/>
      <c r="P45" s="27"/>
      <c r="Q45" s="19" t="s">
        <v>879</v>
      </c>
      <c r="R45" s="27" t="s">
        <v>909</v>
      </c>
      <c r="S45" s="27"/>
    </row>
    <row r="46">
      <c r="G46" s="102">
        <v>46282.0</v>
      </c>
      <c r="H46" s="21">
        <v>15610.0</v>
      </c>
      <c r="I46" s="21">
        <v>58.23</v>
      </c>
      <c r="K46" s="13">
        <v>46140.0</v>
      </c>
      <c r="L46" s="21"/>
      <c r="M46" s="19"/>
      <c r="N46" s="19"/>
      <c r="O46" s="27"/>
      <c r="P46" s="27"/>
      <c r="Q46" s="19" t="s">
        <v>879</v>
      </c>
      <c r="R46" s="27" t="s">
        <v>988</v>
      </c>
      <c r="S46" s="27"/>
    </row>
    <row r="47">
      <c r="G47" s="102">
        <v>46288.0</v>
      </c>
      <c r="H47" s="21">
        <v>16108.0</v>
      </c>
      <c r="I47" s="21">
        <v>54.75</v>
      </c>
      <c r="K47" s="13">
        <v>46141.0</v>
      </c>
      <c r="L47" s="21"/>
      <c r="M47" s="19"/>
      <c r="N47" s="19"/>
      <c r="O47" s="27"/>
      <c r="P47" s="27"/>
      <c r="Q47" s="19" t="s">
        <v>879</v>
      </c>
      <c r="R47" s="27" t="s">
        <v>990</v>
      </c>
      <c r="S47" s="27"/>
    </row>
    <row r="48">
      <c r="G48" s="102">
        <v>46295.0</v>
      </c>
      <c r="H48" s="21">
        <v>16485.0</v>
      </c>
      <c r="I48" s="21">
        <v>30.0</v>
      </c>
      <c r="K48" s="13">
        <v>46142.0</v>
      </c>
      <c r="L48" s="21"/>
      <c r="M48" s="19"/>
      <c r="N48" s="19"/>
      <c r="O48" s="27"/>
      <c r="P48" s="27"/>
      <c r="Q48" s="19" t="s">
        <v>879</v>
      </c>
      <c r="R48" s="27" t="s">
        <v>924</v>
      </c>
      <c r="S48" s="27"/>
    </row>
    <row r="49">
      <c r="G49" s="102">
        <v>46302.0</v>
      </c>
      <c r="H49" s="21">
        <v>16772.0</v>
      </c>
      <c r="I49" s="21">
        <v>48.9</v>
      </c>
      <c r="K49" s="13">
        <v>46143.0</v>
      </c>
      <c r="L49" s="21"/>
      <c r="M49" s="19"/>
      <c r="N49" s="19"/>
      <c r="O49" s="27"/>
      <c r="P49" s="27"/>
      <c r="Q49" s="19" t="s">
        <v>879</v>
      </c>
      <c r="R49" s="27" t="s">
        <v>909</v>
      </c>
      <c r="S49" s="27"/>
    </row>
    <row r="50">
      <c r="G50" s="102">
        <v>46304.0</v>
      </c>
      <c r="H50" s="21">
        <v>17671.0</v>
      </c>
      <c r="I50" s="21">
        <v>30.0</v>
      </c>
      <c r="K50" s="13">
        <v>46146.0</v>
      </c>
      <c r="L50" s="21"/>
      <c r="M50" s="19"/>
      <c r="N50" s="19"/>
      <c r="O50" s="27"/>
      <c r="P50" s="27"/>
      <c r="Q50" s="19" t="s">
        <v>879</v>
      </c>
      <c r="R50" s="27" t="s">
        <v>909</v>
      </c>
      <c r="S50" s="27"/>
    </row>
    <row r="51">
      <c r="G51" s="102">
        <v>46308.0</v>
      </c>
      <c r="H51" s="21">
        <v>17504.0</v>
      </c>
      <c r="I51" s="21">
        <v>40.0</v>
      </c>
      <c r="K51" s="13">
        <v>46147.0</v>
      </c>
      <c r="L51" s="21"/>
      <c r="M51" s="19"/>
      <c r="N51" s="19"/>
      <c r="O51" s="27"/>
      <c r="P51" s="27"/>
      <c r="Q51" s="19" t="s">
        <v>879</v>
      </c>
      <c r="R51" s="27" t="s">
        <v>924</v>
      </c>
      <c r="S51" s="27"/>
    </row>
    <row r="52">
      <c r="G52" s="102"/>
      <c r="H52" s="12"/>
      <c r="I52" s="12"/>
      <c r="K52" s="101">
        <v>46148.0</v>
      </c>
      <c r="L52" s="21"/>
      <c r="M52" s="19"/>
      <c r="N52" s="19"/>
      <c r="O52" s="27"/>
      <c r="P52" s="27"/>
      <c r="Q52" s="19" t="s">
        <v>879</v>
      </c>
      <c r="R52" s="27" t="s">
        <v>909</v>
      </c>
      <c r="S52" s="27"/>
    </row>
    <row r="53">
      <c r="G53" s="102"/>
      <c r="H53" s="12"/>
      <c r="I53" s="12"/>
      <c r="K53" s="13">
        <v>46149.0</v>
      </c>
      <c r="L53" s="21"/>
      <c r="M53" s="19"/>
      <c r="N53" s="19"/>
      <c r="O53" s="27"/>
      <c r="P53" s="27"/>
      <c r="Q53" s="19" t="s">
        <v>879</v>
      </c>
      <c r="R53" s="27" t="s">
        <v>909</v>
      </c>
      <c r="S53" s="27"/>
    </row>
    <row r="54">
      <c r="G54" s="102"/>
      <c r="H54" s="21"/>
      <c r="I54" s="12"/>
      <c r="K54" s="13">
        <v>46153.0</v>
      </c>
      <c r="L54" s="21"/>
      <c r="M54" s="19"/>
      <c r="N54" s="19"/>
      <c r="O54" s="27"/>
      <c r="P54" s="27"/>
      <c r="Q54" s="19" t="s">
        <v>879</v>
      </c>
      <c r="R54" s="27" t="s">
        <v>924</v>
      </c>
      <c r="S54" s="27"/>
    </row>
    <row r="55">
      <c r="G55" s="102"/>
      <c r="H55" s="12"/>
      <c r="I55" s="12"/>
      <c r="K55" s="13">
        <v>46154.0</v>
      </c>
      <c r="L55" s="21"/>
      <c r="M55" s="19"/>
      <c r="N55" s="19"/>
      <c r="O55" s="27"/>
      <c r="P55" s="27"/>
      <c r="Q55" s="19" t="s">
        <v>879</v>
      </c>
      <c r="R55" s="27" t="s">
        <v>1005</v>
      </c>
      <c r="S55" s="27"/>
    </row>
    <row r="56">
      <c r="G56" s="102"/>
      <c r="H56" s="12"/>
      <c r="I56" s="12"/>
      <c r="K56" s="13">
        <v>46155.0</v>
      </c>
      <c r="L56" s="21"/>
      <c r="M56" s="19"/>
      <c r="N56" s="19"/>
      <c r="O56" s="27"/>
      <c r="P56" s="27"/>
      <c r="Q56" s="19" t="s">
        <v>879</v>
      </c>
      <c r="R56" s="27"/>
      <c r="S56" s="27"/>
    </row>
    <row r="57">
      <c r="G57" s="102"/>
      <c r="H57" s="12"/>
      <c r="I57" s="12"/>
      <c r="K57" s="13">
        <v>46161.0</v>
      </c>
      <c r="L57" s="21"/>
      <c r="M57" s="19"/>
      <c r="N57" s="19"/>
      <c r="O57" s="27"/>
      <c r="P57" s="27"/>
      <c r="Q57" s="19" t="s">
        <v>879</v>
      </c>
      <c r="R57" s="27"/>
      <c r="S57" s="27"/>
    </row>
    <row r="58">
      <c r="G58" s="102"/>
      <c r="H58" s="12"/>
      <c r="I58" s="12"/>
      <c r="K58" s="13">
        <v>46162.0</v>
      </c>
      <c r="L58" s="21"/>
      <c r="M58" s="19"/>
      <c r="N58" s="19"/>
      <c r="O58" s="27"/>
      <c r="P58" s="27"/>
      <c r="Q58" s="19" t="s">
        <v>879</v>
      </c>
      <c r="R58" s="27"/>
      <c r="S58" s="27"/>
    </row>
    <row r="59">
      <c r="G59" s="102"/>
      <c r="H59" s="12"/>
      <c r="I59" s="12"/>
      <c r="K59" s="13">
        <v>46163.0</v>
      </c>
      <c r="L59" s="21"/>
      <c r="M59" s="19"/>
      <c r="N59" s="19"/>
      <c r="O59" s="27"/>
      <c r="P59" s="27"/>
      <c r="Q59" s="19" t="s">
        <v>879</v>
      </c>
      <c r="R59" s="27"/>
      <c r="S59" s="27"/>
    </row>
    <row r="60">
      <c r="G60" s="102"/>
      <c r="H60" s="21"/>
      <c r="I60" s="12"/>
      <c r="K60" s="13">
        <v>46167.0</v>
      </c>
      <c r="L60" s="21"/>
      <c r="M60" s="19"/>
      <c r="N60" s="19"/>
      <c r="O60" s="27"/>
      <c r="P60" s="27"/>
      <c r="Q60" s="19" t="s">
        <v>879</v>
      </c>
      <c r="R60" s="27"/>
      <c r="S60" s="27"/>
    </row>
    <row r="61">
      <c r="G61" s="102"/>
      <c r="H61" s="12"/>
      <c r="I61" s="12"/>
      <c r="K61" s="13">
        <v>46168.0</v>
      </c>
      <c r="L61" s="21"/>
      <c r="M61" s="19"/>
      <c r="N61" s="19"/>
      <c r="O61" s="27"/>
      <c r="P61" s="27"/>
      <c r="Q61" s="19" t="s">
        <v>879</v>
      </c>
      <c r="R61" s="19"/>
      <c r="S61" s="19"/>
    </row>
    <row r="62">
      <c r="G62" s="102"/>
      <c r="H62" s="12"/>
      <c r="I62" s="12"/>
      <c r="K62" s="13">
        <v>46170.0</v>
      </c>
      <c r="L62" s="21"/>
      <c r="M62" s="19"/>
      <c r="N62" s="19"/>
      <c r="O62" s="27"/>
      <c r="P62" s="27"/>
      <c r="Q62" s="19" t="s">
        <v>879</v>
      </c>
      <c r="R62" s="19"/>
      <c r="S62" s="19"/>
    </row>
    <row r="63">
      <c r="G63" s="102"/>
      <c r="H63" s="12"/>
      <c r="I63" s="12"/>
      <c r="K63" s="13">
        <v>46175.0</v>
      </c>
      <c r="L63" s="21"/>
      <c r="M63" s="19"/>
      <c r="N63" s="19"/>
      <c r="O63" s="27"/>
      <c r="P63" s="27"/>
      <c r="Q63" s="19" t="s">
        <v>879</v>
      </c>
      <c r="R63" s="27"/>
      <c r="S63" s="27"/>
    </row>
    <row r="64">
      <c r="G64" s="102"/>
      <c r="H64" s="12"/>
      <c r="I64" s="12"/>
      <c r="K64" s="13">
        <v>46176.0</v>
      </c>
      <c r="L64" s="21"/>
      <c r="M64" s="19"/>
      <c r="N64" s="19"/>
      <c r="O64" s="27"/>
      <c r="P64" s="27"/>
      <c r="Q64" s="19" t="s">
        <v>879</v>
      </c>
      <c r="R64" s="27"/>
      <c r="S64" s="27"/>
    </row>
    <row r="65">
      <c r="K65" s="13">
        <v>46177.0</v>
      </c>
      <c r="L65" s="21"/>
      <c r="M65" s="19"/>
      <c r="N65" s="19"/>
      <c r="O65" s="27"/>
      <c r="P65" s="27"/>
      <c r="Q65" s="19" t="s">
        <v>879</v>
      </c>
      <c r="R65" s="27"/>
      <c r="S65" s="27"/>
    </row>
    <row r="66">
      <c r="K66" s="13">
        <v>46181.0</v>
      </c>
      <c r="L66" s="21"/>
      <c r="M66" s="19"/>
      <c r="N66" s="19"/>
      <c r="O66" s="27"/>
      <c r="P66" s="27"/>
      <c r="Q66" s="19" t="s">
        <v>879</v>
      </c>
      <c r="R66" s="27"/>
      <c r="S66" s="27"/>
    </row>
    <row r="67">
      <c r="K67" s="13">
        <v>46182.0</v>
      </c>
      <c r="L67" s="21"/>
      <c r="M67" s="19"/>
      <c r="N67" s="19"/>
      <c r="O67" s="27"/>
      <c r="P67" s="27"/>
      <c r="Q67" s="19" t="s">
        <v>879</v>
      </c>
      <c r="R67" s="27"/>
      <c r="S67" s="27"/>
    </row>
    <row r="68">
      <c r="K68" s="13">
        <v>46183.0</v>
      </c>
      <c r="L68" s="21"/>
      <c r="M68" s="19"/>
      <c r="N68" s="19"/>
      <c r="O68" s="27"/>
      <c r="P68" s="27"/>
      <c r="Q68" s="19" t="s">
        <v>879</v>
      </c>
      <c r="R68" s="27"/>
      <c r="S68" s="27"/>
    </row>
    <row r="69">
      <c r="K69" s="13">
        <v>46184.0</v>
      </c>
      <c r="L69" s="21"/>
      <c r="M69" s="19"/>
      <c r="N69" s="19"/>
      <c r="O69" s="27"/>
      <c r="P69" s="27"/>
      <c r="Q69" s="19" t="s">
        <v>879</v>
      </c>
      <c r="R69" s="27"/>
      <c r="S69" s="27"/>
    </row>
    <row r="70">
      <c r="K70" s="13">
        <v>42536.0</v>
      </c>
      <c r="L70" s="21"/>
      <c r="M70" s="19"/>
      <c r="N70" s="19"/>
      <c r="O70" s="27"/>
      <c r="P70" s="27"/>
      <c r="Q70" s="19" t="s">
        <v>879</v>
      </c>
      <c r="R70" s="27"/>
      <c r="S70" s="27"/>
    </row>
    <row r="71">
      <c r="K71" s="13">
        <v>46189.0</v>
      </c>
      <c r="L71" s="21"/>
      <c r="M71" s="19"/>
      <c r="N71" s="19"/>
      <c r="O71" s="27"/>
      <c r="P71" s="27"/>
      <c r="Q71" s="19" t="s">
        <v>879</v>
      </c>
      <c r="R71" s="27"/>
      <c r="S71" s="27"/>
    </row>
    <row r="72">
      <c r="K72" s="13">
        <v>46190.0</v>
      </c>
      <c r="L72" s="21"/>
      <c r="M72" s="19"/>
      <c r="N72" s="19"/>
      <c r="O72" s="27"/>
      <c r="P72" s="27"/>
      <c r="Q72" s="19" t="s">
        <v>879</v>
      </c>
      <c r="R72" s="27"/>
      <c r="S72" s="27"/>
    </row>
    <row r="73">
      <c r="K73" s="13">
        <v>46191.0</v>
      </c>
      <c r="L73" s="21"/>
      <c r="M73" s="19"/>
      <c r="N73" s="19"/>
      <c r="O73" s="27"/>
      <c r="P73" s="27"/>
      <c r="Q73" s="19" t="s">
        <v>879</v>
      </c>
      <c r="R73" s="27"/>
      <c r="S73" s="27"/>
    </row>
    <row r="74">
      <c r="K74" s="13">
        <v>46192.0</v>
      </c>
      <c r="L74" s="21"/>
      <c r="M74" s="19"/>
      <c r="N74" s="19"/>
      <c r="O74" s="27"/>
      <c r="P74" s="27"/>
      <c r="Q74" s="19" t="s">
        <v>879</v>
      </c>
      <c r="R74" s="27"/>
      <c r="S74" s="27"/>
    </row>
    <row r="75">
      <c r="K75" s="13">
        <v>46195.0</v>
      </c>
      <c r="L75" s="21"/>
      <c r="M75" s="19"/>
      <c r="N75" s="19"/>
      <c r="O75" s="27"/>
      <c r="P75" s="27"/>
      <c r="Q75" s="19" t="s">
        <v>879</v>
      </c>
      <c r="R75" s="27"/>
      <c r="S75" s="27"/>
    </row>
    <row r="76">
      <c r="K76" s="13">
        <v>46196.0</v>
      </c>
      <c r="L76" s="21"/>
      <c r="M76" s="19"/>
      <c r="N76" s="19"/>
      <c r="O76" s="27"/>
      <c r="P76" s="27"/>
      <c r="Q76" s="19" t="s">
        <v>879</v>
      </c>
      <c r="R76" s="27"/>
      <c r="S76" s="27"/>
    </row>
    <row r="77">
      <c r="K77" s="13">
        <v>46197.0</v>
      </c>
      <c r="L77" s="21"/>
      <c r="M77" s="19"/>
      <c r="N77" s="19"/>
      <c r="O77" s="27"/>
      <c r="P77" s="27"/>
      <c r="Q77" s="19" t="s">
        <v>879</v>
      </c>
      <c r="R77" s="27"/>
      <c r="S77" s="27"/>
    </row>
    <row r="78">
      <c r="K78" s="13">
        <v>46198.0</v>
      </c>
      <c r="L78" s="21"/>
      <c r="M78" s="19"/>
      <c r="N78" s="19"/>
      <c r="O78" s="27"/>
      <c r="P78" s="27"/>
      <c r="Q78" s="19" t="s">
        <v>879</v>
      </c>
      <c r="R78" s="27"/>
      <c r="S78" s="27"/>
    </row>
    <row r="79">
      <c r="K79" s="13">
        <v>46202.0</v>
      </c>
      <c r="L79" s="21"/>
      <c r="M79" s="19"/>
      <c r="N79" s="19"/>
      <c r="O79" s="27"/>
      <c r="P79" s="27"/>
      <c r="Q79" s="19" t="s">
        <v>879</v>
      </c>
      <c r="R79" s="27"/>
      <c r="S79" s="27"/>
    </row>
    <row r="80">
      <c r="K80" s="13">
        <v>46203.0</v>
      </c>
      <c r="L80" s="21"/>
      <c r="M80" s="19"/>
      <c r="N80" s="19"/>
      <c r="O80" s="27"/>
      <c r="P80" s="27"/>
      <c r="Q80" s="19" t="s">
        <v>879</v>
      </c>
      <c r="R80" s="27"/>
      <c r="S80" s="27"/>
    </row>
    <row r="81">
      <c r="K81" s="13">
        <v>46204.0</v>
      </c>
      <c r="L81" s="21"/>
      <c r="M81" s="19"/>
      <c r="N81" s="19"/>
      <c r="O81" s="27"/>
      <c r="P81" s="27"/>
      <c r="Q81" s="19" t="s">
        <v>879</v>
      </c>
      <c r="R81" s="27"/>
      <c r="S81" s="27"/>
    </row>
    <row r="82">
      <c r="K82" s="101">
        <v>46205.0</v>
      </c>
      <c r="L82" s="21"/>
      <c r="M82" s="19"/>
      <c r="N82" s="19"/>
      <c r="O82" s="27"/>
      <c r="P82" s="27"/>
      <c r="Q82" s="19" t="s">
        <v>879</v>
      </c>
      <c r="R82" s="27"/>
      <c r="S82" s="27"/>
    </row>
    <row r="83">
      <c r="K83" s="13">
        <v>46209.0</v>
      </c>
      <c r="L83" s="21"/>
      <c r="M83" s="19"/>
      <c r="N83" s="19"/>
      <c r="O83" s="27"/>
      <c r="P83" s="27"/>
      <c r="Q83" s="19" t="s">
        <v>879</v>
      </c>
      <c r="R83" s="27"/>
      <c r="S83" s="27"/>
    </row>
    <row r="84">
      <c r="K84" s="13">
        <v>46210.0</v>
      </c>
      <c r="L84" s="21"/>
      <c r="M84" s="19"/>
      <c r="N84" s="19"/>
      <c r="O84" s="27"/>
      <c r="P84" s="27"/>
      <c r="Q84" s="19" t="s">
        <v>879</v>
      </c>
      <c r="R84" s="27"/>
      <c r="S84" s="27"/>
    </row>
    <row r="85">
      <c r="K85" s="13">
        <v>46211.0</v>
      </c>
      <c r="L85" s="21"/>
      <c r="M85" s="19"/>
      <c r="N85" s="19"/>
      <c r="O85" s="27"/>
      <c r="P85" s="27"/>
      <c r="Q85" s="19" t="s">
        <v>879</v>
      </c>
      <c r="R85" s="27"/>
      <c r="S85" s="27"/>
    </row>
    <row r="86">
      <c r="K86" s="118">
        <v>46212.0</v>
      </c>
      <c r="L86" s="119"/>
      <c r="M86" s="120"/>
      <c r="N86" s="120"/>
      <c r="O86" s="121"/>
      <c r="P86" s="121"/>
      <c r="Q86" s="19" t="s">
        <v>879</v>
      </c>
      <c r="R86" s="120"/>
      <c r="S86" s="120"/>
    </row>
    <row r="87">
      <c r="K87" s="122">
        <v>46216.0</v>
      </c>
      <c r="L87" s="123"/>
      <c r="M87" s="124"/>
      <c r="N87" s="124"/>
      <c r="O87" s="125"/>
      <c r="P87" s="125"/>
      <c r="Q87" s="19" t="s">
        <v>879</v>
      </c>
      <c r="R87" s="124"/>
      <c r="S87" s="124"/>
    </row>
    <row r="88">
      <c r="K88" s="122">
        <v>46217.0</v>
      </c>
      <c r="L88" s="123"/>
      <c r="M88" s="124"/>
      <c r="N88" s="124"/>
      <c r="O88" s="125"/>
      <c r="P88" s="125"/>
      <c r="Q88" s="19" t="s">
        <v>879</v>
      </c>
      <c r="R88" s="125"/>
      <c r="S88" s="125"/>
    </row>
    <row r="89">
      <c r="K89" s="122">
        <v>46218.0</v>
      </c>
      <c r="L89" s="123"/>
      <c r="M89" s="124"/>
      <c r="N89" s="124"/>
      <c r="O89" s="125"/>
      <c r="P89" s="125"/>
      <c r="Q89" s="19" t="s">
        <v>879</v>
      </c>
      <c r="R89" s="125"/>
      <c r="S89" s="125"/>
    </row>
    <row r="90">
      <c r="K90" s="122">
        <v>46219.0</v>
      </c>
      <c r="L90" s="123"/>
      <c r="M90" s="124"/>
      <c r="N90" s="124"/>
      <c r="O90" s="125"/>
      <c r="P90" s="125"/>
      <c r="Q90" s="19" t="s">
        <v>879</v>
      </c>
      <c r="R90" s="125"/>
      <c r="S90" s="125"/>
    </row>
    <row r="91">
      <c r="K91" s="122">
        <v>46223.0</v>
      </c>
      <c r="L91" s="123"/>
      <c r="M91" s="124"/>
      <c r="N91" s="124"/>
      <c r="O91" s="125"/>
      <c r="P91" s="125"/>
      <c r="Q91" s="19" t="s">
        <v>879</v>
      </c>
      <c r="R91" s="125"/>
      <c r="S91" s="125"/>
    </row>
    <row r="92">
      <c r="K92" s="122">
        <v>46224.0</v>
      </c>
      <c r="L92" s="123"/>
      <c r="M92" s="124"/>
      <c r="N92" s="124"/>
      <c r="O92" s="125"/>
      <c r="P92" s="125"/>
      <c r="Q92" s="19" t="s">
        <v>879</v>
      </c>
      <c r="R92" s="125"/>
      <c r="S92" s="125"/>
    </row>
    <row r="93">
      <c r="K93" s="122">
        <v>46225.0</v>
      </c>
      <c r="L93" s="123"/>
      <c r="M93" s="124"/>
      <c r="N93" s="124"/>
      <c r="O93" s="125"/>
      <c r="P93" s="125"/>
      <c r="Q93" s="19" t="s">
        <v>879</v>
      </c>
      <c r="R93" s="125"/>
      <c r="S93" s="125"/>
    </row>
    <row r="94">
      <c r="K94" s="122">
        <v>46226.0</v>
      </c>
      <c r="L94" s="123"/>
      <c r="M94" s="124"/>
      <c r="N94" s="124"/>
      <c r="O94" s="125"/>
      <c r="P94" s="125"/>
      <c r="Q94" s="19" t="s">
        <v>879</v>
      </c>
      <c r="R94" s="125"/>
      <c r="S94" s="125"/>
    </row>
    <row r="95">
      <c r="K95" s="122">
        <v>46231.0</v>
      </c>
      <c r="L95" s="123"/>
      <c r="M95" s="124"/>
      <c r="N95" s="124"/>
      <c r="O95" s="125"/>
      <c r="P95" s="125"/>
      <c r="Q95" s="19" t="s">
        <v>879</v>
      </c>
      <c r="R95" s="125"/>
      <c r="S95" s="125"/>
    </row>
    <row r="96">
      <c r="K96" s="122">
        <v>46232.0</v>
      </c>
      <c r="L96" s="123"/>
      <c r="M96" s="124"/>
      <c r="N96" s="124"/>
      <c r="O96" s="125"/>
      <c r="P96" s="125"/>
      <c r="Q96" s="19" t="s">
        <v>879</v>
      </c>
      <c r="R96" s="125"/>
      <c r="S96" s="125"/>
    </row>
    <row r="97">
      <c r="K97" s="122">
        <v>46237.0</v>
      </c>
      <c r="L97" s="123"/>
      <c r="M97" s="124"/>
      <c r="N97" s="124"/>
      <c r="O97" s="125"/>
      <c r="P97" s="125"/>
      <c r="Q97" s="19" t="s">
        <v>879</v>
      </c>
      <c r="R97" s="125"/>
      <c r="S97" s="125"/>
    </row>
    <row r="98">
      <c r="K98" s="122">
        <v>46238.0</v>
      </c>
      <c r="L98" s="123"/>
      <c r="M98" s="124"/>
      <c r="N98" s="124"/>
      <c r="O98" s="125"/>
      <c r="P98" s="125"/>
      <c r="Q98" s="19" t="s">
        <v>879</v>
      </c>
      <c r="R98" s="125"/>
      <c r="S98" s="125"/>
    </row>
    <row r="99">
      <c r="K99" s="122">
        <v>46246.0</v>
      </c>
      <c r="L99" s="123"/>
      <c r="M99" s="124"/>
      <c r="N99" s="124"/>
      <c r="O99" s="125"/>
      <c r="P99" s="125"/>
      <c r="Q99" s="19" t="s">
        <v>879</v>
      </c>
      <c r="R99" s="125"/>
      <c r="S99" s="125"/>
    </row>
    <row r="100">
      <c r="K100" s="122">
        <v>46247.0</v>
      </c>
      <c r="L100" s="123"/>
      <c r="M100" s="124"/>
      <c r="N100" s="124"/>
      <c r="O100" s="125"/>
      <c r="P100" s="125"/>
      <c r="Q100" s="19" t="s">
        <v>879</v>
      </c>
      <c r="R100" s="125"/>
      <c r="S100" s="125"/>
    </row>
    <row r="101">
      <c r="K101" s="122">
        <v>46251.0</v>
      </c>
      <c r="L101" s="123"/>
      <c r="M101" s="124"/>
      <c r="N101" s="124"/>
      <c r="O101" s="125"/>
      <c r="P101" s="125"/>
      <c r="Q101" s="19" t="s">
        <v>879</v>
      </c>
      <c r="R101" s="125"/>
      <c r="S101" s="125"/>
    </row>
    <row r="102">
      <c r="K102" s="122">
        <v>46252.0</v>
      </c>
      <c r="L102" s="123"/>
      <c r="M102" s="124"/>
      <c r="N102" s="124"/>
      <c r="O102" s="125"/>
      <c r="P102" s="125"/>
      <c r="Q102" s="19" t="s">
        <v>879</v>
      </c>
      <c r="R102" s="125"/>
      <c r="S102" s="125"/>
    </row>
    <row r="103">
      <c r="K103" s="122">
        <v>46259.0</v>
      </c>
      <c r="L103" s="123"/>
      <c r="M103" s="124"/>
      <c r="N103" s="124"/>
      <c r="O103" s="125"/>
      <c r="P103" s="125"/>
      <c r="Q103" s="19" t="s">
        <v>879</v>
      </c>
      <c r="R103" s="125"/>
      <c r="S103" s="125"/>
    </row>
    <row r="104">
      <c r="K104" s="122">
        <v>46273.0</v>
      </c>
      <c r="L104" s="123"/>
      <c r="M104" s="124"/>
      <c r="N104" s="124"/>
      <c r="O104" s="125"/>
      <c r="P104" s="125"/>
      <c r="Q104" s="19" t="s">
        <v>879</v>
      </c>
      <c r="R104" s="125"/>
      <c r="S104" s="125"/>
    </row>
    <row r="105">
      <c r="K105" s="122">
        <v>46275.0</v>
      </c>
      <c r="L105" s="123"/>
      <c r="M105" s="124"/>
      <c r="N105" s="124"/>
      <c r="O105" s="125"/>
      <c r="P105" s="125"/>
      <c r="Q105" s="19" t="s">
        <v>879</v>
      </c>
      <c r="R105" s="125"/>
      <c r="S105" s="125"/>
    </row>
    <row r="106">
      <c r="K106" s="122">
        <v>46279.0</v>
      </c>
      <c r="L106" s="123"/>
      <c r="M106" s="124"/>
      <c r="N106" s="124"/>
      <c r="O106" s="125"/>
      <c r="P106" s="125"/>
      <c r="Q106" s="19" t="s">
        <v>879</v>
      </c>
      <c r="R106" s="125"/>
      <c r="S106" s="125"/>
    </row>
    <row r="107">
      <c r="K107" s="122">
        <v>46280.0</v>
      </c>
      <c r="L107" s="123"/>
      <c r="M107" s="124"/>
      <c r="N107" s="124"/>
      <c r="O107" s="125"/>
      <c r="P107" s="125"/>
      <c r="Q107" s="19" t="s">
        <v>879</v>
      </c>
      <c r="R107" s="125"/>
      <c r="S107" s="125"/>
    </row>
    <row r="108">
      <c r="K108" s="122">
        <v>46281.0</v>
      </c>
      <c r="L108" s="123"/>
      <c r="M108" s="124"/>
      <c r="N108" s="124"/>
      <c r="O108" s="125"/>
      <c r="P108" s="125"/>
      <c r="Q108" s="19" t="s">
        <v>879</v>
      </c>
      <c r="R108" s="125"/>
      <c r="S108" s="125"/>
    </row>
    <row r="109">
      <c r="K109" s="122">
        <v>46282.0</v>
      </c>
      <c r="L109" s="123"/>
      <c r="M109" s="124"/>
      <c r="N109" s="124"/>
      <c r="O109" s="125"/>
      <c r="P109" s="125"/>
      <c r="Q109" s="19" t="s">
        <v>879</v>
      </c>
      <c r="R109" s="125"/>
      <c r="S109" s="125"/>
    </row>
    <row r="110">
      <c r="K110" s="122">
        <v>46286.0</v>
      </c>
      <c r="L110" s="123"/>
      <c r="M110" s="124"/>
      <c r="N110" s="124"/>
      <c r="O110" s="125"/>
      <c r="P110" s="125"/>
      <c r="Q110" s="19" t="s">
        <v>879</v>
      </c>
      <c r="R110" s="125"/>
      <c r="S110" s="125"/>
    </row>
    <row r="111">
      <c r="K111" s="118">
        <v>46287.0</v>
      </c>
      <c r="L111" s="119"/>
      <c r="M111" s="120"/>
      <c r="N111" s="120"/>
      <c r="O111" s="121"/>
      <c r="P111" s="121"/>
      <c r="Q111" s="19" t="s">
        <v>879</v>
      </c>
      <c r="R111" s="120"/>
      <c r="S111" s="120"/>
    </row>
    <row r="112">
      <c r="K112" s="122">
        <v>46288.0</v>
      </c>
      <c r="L112" s="123"/>
      <c r="M112" s="124"/>
      <c r="N112" s="124"/>
      <c r="O112" s="125"/>
      <c r="P112" s="125"/>
      <c r="Q112" s="19" t="s">
        <v>879</v>
      </c>
      <c r="R112" s="124"/>
      <c r="S112" s="124"/>
    </row>
    <row r="113">
      <c r="K113" s="122">
        <v>46289.0</v>
      </c>
      <c r="L113" s="123"/>
      <c r="M113" s="124"/>
      <c r="N113" s="124"/>
      <c r="O113" s="125"/>
      <c r="P113" s="125"/>
      <c r="Q113" s="19" t="s">
        <v>879</v>
      </c>
      <c r="R113" s="125"/>
      <c r="S113" s="125"/>
    </row>
    <row r="114">
      <c r="K114" s="122">
        <v>46289.0</v>
      </c>
      <c r="L114" s="123"/>
      <c r="M114" s="124"/>
      <c r="N114" s="124"/>
      <c r="O114" s="125"/>
      <c r="P114" s="125"/>
      <c r="Q114" s="19" t="s">
        <v>879</v>
      </c>
      <c r="R114" s="125"/>
      <c r="S114" s="125"/>
    </row>
    <row r="115">
      <c r="K115" s="122">
        <v>46294.0</v>
      </c>
      <c r="L115" s="123"/>
      <c r="M115" s="124"/>
      <c r="N115" s="124"/>
      <c r="O115" s="125"/>
      <c r="P115" s="125"/>
      <c r="Q115" s="19" t="s">
        <v>879</v>
      </c>
      <c r="R115" s="125"/>
      <c r="S115" s="125"/>
    </row>
    <row r="116">
      <c r="K116" s="122">
        <v>46296.0</v>
      </c>
      <c r="L116" s="123"/>
      <c r="M116" s="124"/>
      <c r="N116" s="124"/>
      <c r="O116" s="125"/>
      <c r="P116" s="125"/>
      <c r="Q116" s="19" t="s">
        <v>879</v>
      </c>
      <c r="R116" s="125"/>
      <c r="S116" s="125"/>
    </row>
    <row r="117">
      <c r="K117" s="122">
        <v>46300.0</v>
      </c>
      <c r="L117" s="123"/>
      <c r="M117" s="124"/>
      <c r="N117" s="124"/>
      <c r="O117" s="125"/>
      <c r="P117" s="125"/>
      <c r="Q117" s="19" t="s">
        <v>879</v>
      </c>
      <c r="R117" s="125"/>
      <c r="S117" s="125"/>
    </row>
    <row r="118">
      <c r="K118" s="122">
        <v>46301.0</v>
      </c>
      <c r="L118" s="123"/>
      <c r="M118" s="124"/>
      <c r="N118" s="124"/>
      <c r="O118" s="125"/>
      <c r="P118" s="125"/>
      <c r="Q118" s="19" t="s">
        <v>879</v>
      </c>
      <c r="R118" s="125"/>
      <c r="S118" s="125"/>
    </row>
    <row r="119">
      <c r="K119" s="122">
        <v>46302.0</v>
      </c>
      <c r="L119" s="123"/>
      <c r="M119" s="124"/>
      <c r="N119" s="124"/>
      <c r="O119" s="125"/>
      <c r="P119" s="125"/>
      <c r="Q119" s="19" t="s">
        <v>879</v>
      </c>
      <c r="R119" s="125"/>
      <c r="S119" s="125"/>
    </row>
    <row r="120">
      <c r="K120" s="122">
        <v>46304.0</v>
      </c>
      <c r="L120" s="123"/>
      <c r="M120" s="124"/>
      <c r="N120" s="124"/>
      <c r="O120" s="125"/>
      <c r="P120" s="125"/>
      <c r="Q120" s="19" t="s">
        <v>879</v>
      </c>
      <c r="R120" s="125"/>
      <c r="S120" s="125"/>
    </row>
    <row r="121">
      <c r="K121" s="122">
        <v>46307.0</v>
      </c>
      <c r="L121" s="123"/>
      <c r="M121" s="124"/>
      <c r="N121" s="124"/>
      <c r="O121" s="125"/>
      <c r="P121" s="125"/>
      <c r="Q121" s="19" t="s">
        <v>879</v>
      </c>
      <c r="R121" s="125"/>
      <c r="S121" s="125"/>
    </row>
    <row r="122">
      <c r="K122" s="122">
        <v>46308.0</v>
      </c>
      <c r="L122" s="123"/>
      <c r="M122" s="124"/>
      <c r="N122" s="124"/>
      <c r="O122" s="125"/>
      <c r="P122" s="125"/>
      <c r="Q122" s="19" t="s">
        <v>879</v>
      </c>
      <c r="R122" s="125"/>
      <c r="S122" s="125"/>
    </row>
    <row r="123">
      <c r="K123" s="122">
        <v>46309.0</v>
      </c>
      <c r="L123" s="123"/>
      <c r="M123" s="124"/>
      <c r="N123" s="124"/>
      <c r="O123" s="125"/>
      <c r="P123" s="125"/>
      <c r="Q123" s="19" t="s">
        <v>879</v>
      </c>
      <c r="R123" s="125"/>
      <c r="S123" s="125"/>
    </row>
    <row r="124">
      <c r="K124" s="122">
        <v>46310.0</v>
      </c>
      <c r="L124" s="123"/>
      <c r="M124" s="124"/>
      <c r="N124" s="124"/>
      <c r="O124" s="125"/>
      <c r="P124" s="125"/>
      <c r="Q124" s="19" t="s">
        <v>879</v>
      </c>
      <c r="R124" s="125"/>
      <c r="S124" s="125"/>
    </row>
    <row r="125">
      <c r="K125" s="122">
        <v>46314.0</v>
      </c>
      <c r="L125" s="123"/>
      <c r="M125" s="124"/>
      <c r="N125" s="124"/>
      <c r="O125" s="125"/>
      <c r="P125" s="125"/>
      <c r="Q125" s="19" t="s">
        <v>879</v>
      </c>
      <c r="R125" s="125"/>
      <c r="S125" s="125"/>
    </row>
    <row r="126">
      <c r="K126" s="122">
        <v>46315.0</v>
      </c>
      <c r="L126" s="123"/>
      <c r="M126" s="124"/>
      <c r="N126" s="124"/>
      <c r="O126" s="125"/>
      <c r="P126" s="125"/>
      <c r="Q126" s="19" t="s">
        <v>879</v>
      </c>
      <c r="R126" s="125"/>
      <c r="S126" s="125"/>
    </row>
    <row r="127">
      <c r="K127" s="128"/>
      <c r="L127" s="123"/>
      <c r="M127" s="124"/>
      <c r="N127" s="124"/>
      <c r="O127" s="125"/>
      <c r="P127" s="125"/>
      <c r="Q127" s="19" t="s">
        <v>879</v>
      </c>
      <c r="R127" s="125"/>
      <c r="S127" s="125"/>
    </row>
    <row r="128">
      <c r="K128" s="128"/>
      <c r="L128" s="123"/>
      <c r="M128" s="124"/>
      <c r="N128" s="124"/>
      <c r="O128" s="125"/>
      <c r="P128" s="125"/>
      <c r="Q128" s="19" t="s">
        <v>879</v>
      </c>
      <c r="R128" s="125"/>
      <c r="S128" s="125"/>
    </row>
    <row r="129">
      <c r="K129" s="128"/>
      <c r="L129" s="123"/>
      <c r="M129" s="124"/>
      <c r="N129" s="124"/>
      <c r="O129" s="125"/>
      <c r="P129" s="125"/>
      <c r="Q129" s="19" t="s">
        <v>879</v>
      </c>
      <c r="R129" s="125"/>
      <c r="S129" s="125"/>
    </row>
    <row r="130">
      <c r="K130" s="128"/>
      <c r="L130" s="123"/>
      <c r="M130" s="124"/>
      <c r="N130" s="124"/>
      <c r="O130" s="125"/>
      <c r="P130" s="125"/>
      <c r="Q130" s="19" t="s">
        <v>879</v>
      </c>
      <c r="R130" s="125"/>
      <c r="S130" s="125"/>
    </row>
    <row r="131">
      <c r="K131" s="128"/>
      <c r="L131" s="123"/>
      <c r="M131" s="124"/>
      <c r="N131" s="124"/>
      <c r="O131" s="125"/>
      <c r="P131" s="125"/>
      <c r="Q131" s="19" t="s">
        <v>879</v>
      </c>
      <c r="R131" s="125"/>
      <c r="S131" s="125"/>
    </row>
    <row r="132">
      <c r="K132" s="128"/>
      <c r="L132" s="123"/>
      <c r="M132" s="124"/>
      <c r="N132" s="124"/>
      <c r="O132" s="125"/>
      <c r="P132" s="125"/>
      <c r="Q132" s="19" t="s">
        <v>879</v>
      </c>
      <c r="R132" s="125"/>
      <c r="S132" s="125"/>
    </row>
    <row r="133">
      <c r="K133" s="128"/>
      <c r="L133" s="123"/>
      <c r="M133" s="124"/>
      <c r="N133" s="124"/>
      <c r="O133" s="125"/>
      <c r="P133" s="125"/>
      <c r="Q133" s="19" t="s">
        <v>879</v>
      </c>
      <c r="R133" s="125"/>
      <c r="S133" s="125"/>
    </row>
    <row r="134">
      <c r="K134" s="128"/>
      <c r="L134" s="123"/>
      <c r="M134" s="124"/>
      <c r="N134" s="124"/>
      <c r="O134" s="125"/>
      <c r="P134" s="125"/>
      <c r="Q134" s="19" t="s">
        <v>879</v>
      </c>
      <c r="R134" s="125"/>
      <c r="S134" s="125"/>
    </row>
    <row r="135">
      <c r="K135" s="128"/>
      <c r="L135" s="123"/>
      <c r="M135" s="124"/>
      <c r="N135" s="124"/>
      <c r="O135" s="125"/>
      <c r="P135" s="125"/>
      <c r="Q135" s="19" t="s">
        <v>879</v>
      </c>
      <c r="R135" s="125"/>
      <c r="S135" s="125"/>
    </row>
    <row r="136">
      <c r="K136" s="131"/>
      <c r="L136" s="119"/>
      <c r="M136" s="120"/>
      <c r="N136" s="120"/>
      <c r="O136" s="121"/>
      <c r="P136" s="121"/>
      <c r="Q136" s="19" t="s">
        <v>879</v>
      </c>
      <c r="R136" s="120"/>
      <c r="S136" s="120"/>
    </row>
    <row r="137">
      <c r="K137" s="128"/>
      <c r="L137" s="123"/>
      <c r="M137" s="124"/>
      <c r="N137" s="124"/>
      <c r="O137" s="125"/>
      <c r="P137" s="125"/>
      <c r="Q137" s="19" t="s">
        <v>879</v>
      </c>
      <c r="R137" s="124"/>
      <c r="S137" s="124"/>
    </row>
    <row r="138">
      <c r="K138" s="128"/>
      <c r="L138" s="123"/>
      <c r="M138" s="124"/>
      <c r="N138" s="124"/>
      <c r="O138" s="125"/>
      <c r="P138" s="125"/>
      <c r="Q138" s="19" t="s">
        <v>879</v>
      </c>
      <c r="R138" s="125"/>
      <c r="S138" s="125"/>
    </row>
    <row r="139">
      <c r="K139" s="128"/>
      <c r="L139" s="123"/>
      <c r="M139" s="124"/>
      <c r="N139" s="124"/>
      <c r="O139" s="125"/>
      <c r="P139" s="125"/>
      <c r="Q139" s="19" t="s">
        <v>879</v>
      </c>
      <c r="R139" s="125"/>
      <c r="S139" s="125"/>
    </row>
    <row r="140">
      <c r="K140" s="128"/>
      <c r="L140" s="123"/>
      <c r="M140" s="124"/>
      <c r="N140" s="124"/>
      <c r="O140" s="125"/>
      <c r="P140" s="125"/>
      <c r="Q140" s="19" t="s">
        <v>879</v>
      </c>
      <c r="R140" s="125"/>
      <c r="S140" s="125"/>
    </row>
    <row r="141">
      <c r="K141" s="128"/>
      <c r="L141" s="123"/>
      <c r="M141" s="124"/>
      <c r="N141" s="124"/>
      <c r="O141" s="125"/>
      <c r="P141" s="125"/>
      <c r="Q141" s="19" t="s">
        <v>879</v>
      </c>
      <c r="R141" s="125"/>
      <c r="S141" s="125"/>
    </row>
    <row r="142">
      <c r="K142" s="128"/>
      <c r="L142" s="123"/>
      <c r="M142" s="124"/>
      <c r="N142" s="124"/>
      <c r="O142" s="125"/>
      <c r="P142" s="125"/>
      <c r="Q142" s="19" t="s">
        <v>879</v>
      </c>
      <c r="R142" s="125"/>
      <c r="S142" s="125"/>
    </row>
    <row r="143">
      <c r="K143" s="128"/>
      <c r="L143" s="123"/>
      <c r="M143" s="124"/>
      <c r="N143" s="124"/>
      <c r="O143" s="125"/>
      <c r="P143" s="125"/>
      <c r="Q143" s="19" t="s">
        <v>879</v>
      </c>
      <c r="R143" s="125"/>
      <c r="S143" s="125"/>
    </row>
    <row r="144">
      <c r="K144" s="128"/>
      <c r="L144" s="123"/>
      <c r="M144" s="124"/>
      <c r="N144" s="124"/>
      <c r="O144" s="125"/>
      <c r="P144" s="125"/>
      <c r="Q144" s="19" t="s">
        <v>879</v>
      </c>
      <c r="R144" s="125"/>
      <c r="S144" s="125"/>
    </row>
    <row r="145">
      <c r="K145" s="128"/>
      <c r="L145" s="123"/>
      <c r="M145" s="124"/>
      <c r="N145" s="124"/>
      <c r="O145" s="125"/>
      <c r="P145" s="125"/>
      <c r="Q145" s="19" t="s">
        <v>879</v>
      </c>
      <c r="R145" s="125"/>
      <c r="S145" s="125"/>
    </row>
    <row r="146">
      <c r="K146" s="128"/>
      <c r="L146" s="123"/>
      <c r="M146" s="124"/>
      <c r="N146" s="124"/>
      <c r="O146" s="125"/>
      <c r="P146" s="125"/>
      <c r="Q146" s="19" t="s">
        <v>879</v>
      </c>
      <c r="R146" s="125"/>
      <c r="S146" s="125"/>
    </row>
    <row r="147">
      <c r="K147" s="128"/>
      <c r="L147" s="123"/>
      <c r="M147" s="124"/>
      <c r="N147" s="124"/>
      <c r="O147" s="125"/>
      <c r="P147" s="125"/>
      <c r="Q147" s="125"/>
      <c r="R147" s="125"/>
      <c r="S147" s="125"/>
    </row>
    <row r="148">
      <c r="K148" s="128"/>
      <c r="L148" s="123"/>
      <c r="M148" s="124"/>
      <c r="N148" s="124"/>
      <c r="O148" s="125"/>
      <c r="P148" s="125"/>
      <c r="Q148" s="125"/>
      <c r="R148" s="125"/>
      <c r="S148" s="125"/>
    </row>
    <row r="149">
      <c r="K149" s="128"/>
      <c r="L149" s="123"/>
      <c r="M149" s="124"/>
      <c r="N149" s="124"/>
      <c r="O149" s="125"/>
      <c r="P149" s="125"/>
      <c r="Q149" s="125"/>
      <c r="R149" s="125"/>
      <c r="S149" s="125"/>
    </row>
    <row r="150">
      <c r="K150" s="128"/>
      <c r="L150" s="123"/>
      <c r="M150" s="124"/>
      <c r="N150" s="124"/>
      <c r="O150" s="125"/>
      <c r="P150" s="125"/>
      <c r="Q150" s="125"/>
      <c r="R150" s="125"/>
      <c r="S150" s="125"/>
    </row>
    <row r="151">
      <c r="K151" s="128"/>
      <c r="L151" s="123"/>
      <c r="M151" s="124"/>
      <c r="N151" s="124"/>
      <c r="O151" s="125"/>
      <c r="P151" s="125"/>
      <c r="Q151" s="125"/>
      <c r="R151" s="125"/>
      <c r="S151" s="125"/>
    </row>
    <row r="152">
      <c r="K152" s="128"/>
      <c r="L152" s="123"/>
      <c r="M152" s="124"/>
      <c r="N152" s="124"/>
      <c r="O152" s="125"/>
      <c r="P152" s="125"/>
      <c r="Q152" s="125"/>
      <c r="R152" s="125"/>
      <c r="S152" s="125"/>
    </row>
    <row r="153">
      <c r="K153" s="128"/>
      <c r="L153" s="123"/>
      <c r="M153" s="124"/>
      <c r="N153" s="124"/>
      <c r="O153" s="125"/>
      <c r="P153" s="125"/>
      <c r="Q153" s="125"/>
      <c r="R153" s="125"/>
      <c r="S153" s="125"/>
    </row>
    <row r="154">
      <c r="K154" s="128"/>
      <c r="L154" s="123"/>
      <c r="M154" s="124"/>
      <c r="N154" s="124"/>
      <c r="O154" s="125"/>
      <c r="P154" s="125"/>
      <c r="Q154" s="125"/>
      <c r="R154" s="125"/>
      <c r="S154" s="125"/>
    </row>
    <row r="155">
      <c r="K155" s="128"/>
      <c r="L155" s="123"/>
      <c r="M155" s="124"/>
      <c r="N155" s="124"/>
      <c r="O155" s="125"/>
      <c r="P155" s="125"/>
      <c r="Q155" s="125"/>
      <c r="R155" s="125"/>
      <c r="S155" s="125"/>
    </row>
    <row r="156">
      <c r="K156" s="128"/>
      <c r="L156" s="123"/>
      <c r="M156" s="124"/>
      <c r="N156" s="124"/>
      <c r="O156" s="125"/>
      <c r="P156" s="125"/>
      <c r="Q156" s="125"/>
      <c r="R156" s="125"/>
      <c r="S156" s="125"/>
    </row>
    <row r="157">
      <c r="K157" s="128"/>
      <c r="L157" s="123"/>
      <c r="M157" s="124"/>
      <c r="N157" s="124"/>
      <c r="O157" s="125"/>
      <c r="P157" s="125"/>
      <c r="Q157" s="125"/>
      <c r="R157" s="125"/>
      <c r="S157" s="125"/>
    </row>
    <row r="158">
      <c r="K158" s="128"/>
      <c r="L158" s="123"/>
      <c r="M158" s="124"/>
      <c r="N158" s="124"/>
      <c r="O158" s="125"/>
      <c r="P158" s="125"/>
      <c r="Q158" s="125"/>
      <c r="R158" s="125"/>
      <c r="S158" s="125"/>
    </row>
    <row r="159">
      <c r="K159" s="128"/>
      <c r="L159" s="123"/>
      <c r="M159" s="124"/>
      <c r="N159" s="124"/>
      <c r="O159" s="125"/>
      <c r="P159" s="125"/>
      <c r="Q159" s="125"/>
      <c r="R159" s="125"/>
      <c r="S159" s="125"/>
    </row>
    <row r="160">
      <c r="K160" s="128"/>
      <c r="L160" s="123"/>
      <c r="M160" s="124"/>
      <c r="N160" s="124"/>
      <c r="O160" s="125"/>
      <c r="P160" s="125"/>
      <c r="Q160" s="125"/>
      <c r="R160" s="125"/>
      <c r="S160" s="125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63"/>
  </cols>
  <sheetData>
    <row r="1">
      <c r="A1" s="2" t="s">
        <v>1</v>
      </c>
      <c r="B1" s="1"/>
      <c r="D1" s="3" t="s">
        <v>2</v>
      </c>
      <c r="E1" s="3" t="s">
        <v>3</v>
      </c>
      <c r="F1" s="3" t="s">
        <v>5</v>
      </c>
      <c r="G1" s="3" t="s">
        <v>6</v>
      </c>
      <c r="H1" s="3" t="s">
        <v>7</v>
      </c>
      <c r="I1" s="6" t="s">
        <v>9</v>
      </c>
      <c r="K1" s="10" t="s">
        <v>999</v>
      </c>
      <c r="L1" s="10"/>
      <c r="M1" s="10"/>
      <c r="N1" s="10"/>
      <c r="O1" s="10"/>
      <c r="P1" s="10"/>
      <c r="Q1" s="10"/>
      <c r="R1" s="10"/>
      <c r="S1" s="10"/>
    </row>
    <row r="2">
      <c r="A2" s="1" t="s">
        <v>21</v>
      </c>
      <c r="B2" s="2" t="s">
        <v>1002</v>
      </c>
      <c r="D2" s="12"/>
      <c r="E2" s="12"/>
      <c r="F2" s="12"/>
      <c r="G2" s="12"/>
      <c r="H2" s="12"/>
      <c r="I2" s="12"/>
      <c r="K2" s="6" t="s">
        <v>8</v>
      </c>
      <c r="L2" s="6" t="s">
        <v>27</v>
      </c>
      <c r="M2" s="6" t="s">
        <v>28</v>
      </c>
      <c r="N2" s="6" t="s">
        <v>30</v>
      </c>
      <c r="O2" s="6" t="s">
        <v>25</v>
      </c>
      <c r="P2" s="6" t="s">
        <v>24</v>
      </c>
      <c r="Q2" s="6" t="s">
        <v>36</v>
      </c>
      <c r="R2" s="6" t="s">
        <v>35</v>
      </c>
      <c r="S2" s="6" t="s">
        <v>33</v>
      </c>
    </row>
    <row r="3">
      <c r="A3" s="1" t="s">
        <v>40</v>
      </c>
      <c r="B3" s="2" t="s">
        <v>102</v>
      </c>
      <c r="D3" s="12"/>
      <c r="E3" s="12"/>
      <c r="F3" s="12"/>
      <c r="G3" s="12"/>
      <c r="H3" s="12"/>
      <c r="I3" s="12"/>
      <c r="K3" s="13"/>
      <c r="L3" s="21"/>
      <c r="M3" s="19"/>
      <c r="N3" s="19"/>
      <c r="O3" s="19"/>
      <c r="P3" s="19"/>
      <c r="Q3" s="19"/>
      <c r="R3" s="19"/>
      <c r="S3" s="19"/>
    </row>
    <row r="4">
      <c r="A4" s="1" t="s">
        <v>50</v>
      </c>
      <c r="B4" s="2" t="s">
        <v>187</v>
      </c>
      <c r="D4" s="12"/>
      <c r="E4" s="12"/>
      <c r="F4" s="12"/>
      <c r="G4" s="12"/>
      <c r="H4" s="12"/>
      <c r="I4" s="12"/>
      <c r="K4" s="13"/>
      <c r="L4" s="21"/>
      <c r="M4" s="19"/>
      <c r="N4" s="19">
        <f>N3+M4</f>
        <v>0</v>
      </c>
      <c r="O4" s="27"/>
      <c r="P4" s="27"/>
      <c r="Q4" s="27"/>
      <c r="R4" s="19"/>
      <c r="S4" s="19"/>
    </row>
    <row r="5">
      <c r="A5" s="1" t="s">
        <v>66</v>
      </c>
      <c r="B5" s="2" t="s">
        <v>449</v>
      </c>
      <c r="D5" s="12"/>
      <c r="E5" s="12"/>
      <c r="F5" s="12"/>
      <c r="G5" s="12"/>
      <c r="H5" s="12"/>
      <c r="I5" s="12"/>
      <c r="K5" s="13"/>
      <c r="L5" s="21"/>
      <c r="M5" s="19"/>
      <c r="N5" s="19"/>
      <c r="O5" s="27"/>
      <c r="P5" s="27"/>
      <c r="Q5" s="27"/>
      <c r="R5" s="19"/>
      <c r="S5" s="19"/>
    </row>
    <row r="6">
      <c r="A6" s="1" t="s">
        <v>70</v>
      </c>
      <c r="B6" s="2" t="s">
        <v>18</v>
      </c>
      <c r="D6" s="12"/>
      <c r="E6" s="12"/>
      <c r="F6" s="12"/>
      <c r="G6" s="12"/>
      <c r="H6" s="12"/>
      <c r="I6" s="12"/>
      <c r="K6" s="13"/>
      <c r="L6" s="21"/>
      <c r="M6" s="19"/>
      <c r="N6" s="19"/>
      <c r="O6" s="27"/>
      <c r="P6" s="27"/>
      <c r="Q6" s="27"/>
      <c r="R6" s="19"/>
      <c r="S6" s="19"/>
    </row>
    <row r="7">
      <c r="K7" s="13"/>
      <c r="L7" s="21"/>
      <c r="M7" s="19"/>
      <c r="N7" s="19"/>
      <c r="O7" s="27"/>
      <c r="P7" s="27"/>
      <c r="Q7" s="27"/>
      <c r="R7" s="19"/>
      <c r="S7" s="19"/>
    </row>
    <row r="8">
      <c r="A8" s="6" t="s">
        <v>8</v>
      </c>
      <c r="B8" s="6" t="s">
        <v>84</v>
      </c>
      <c r="C8" s="6" t="s">
        <v>25</v>
      </c>
      <c r="D8" s="6" t="s">
        <v>86</v>
      </c>
      <c r="E8" s="6" t="s">
        <v>87</v>
      </c>
      <c r="G8" s="6" t="s">
        <v>8</v>
      </c>
      <c r="H8" s="6" t="s">
        <v>13</v>
      </c>
      <c r="I8" s="6" t="s">
        <v>88</v>
      </c>
      <c r="K8" s="13"/>
      <c r="L8" s="21"/>
      <c r="M8" s="19"/>
      <c r="N8" s="19"/>
      <c r="O8" s="27"/>
      <c r="P8" s="27"/>
      <c r="Q8" s="27"/>
      <c r="R8" s="19"/>
      <c r="S8" s="19"/>
    </row>
    <row r="9">
      <c r="A9" s="12"/>
      <c r="B9" s="12"/>
      <c r="C9" s="12"/>
      <c r="D9" s="12"/>
      <c r="E9" s="12"/>
      <c r="G9" s="12"/>
      <c r="H9" s="12"/>
      <c r="I9" s="12"/>
      <c r="K9" s="13"/>
      <c r="L9" s="21"/>
      <c r="M9" s="19"/>
      <c r="N9" s="19"/>
      <c r="O9" s="27"/>
      <c r="P9" s="27"/>
      <c r="Q9" s="27"/>
      <c r="R9" s="19"/>
      <c r="S9" s="19"/>
    </row>
    <row r="10">
      <c r="A10" s="12"/>
      <c r="B10" s="12"/>
      <c r="C10" s="12"/>
      <c r="D10" s="12"/>
      <c r="E10" s="12"/>
      <c r="G10" s="12"/>
      <c r="H10" s="12"/>
      <c r="I10" s="12"/>
      <c r="K10" s="13"/>
      <c r="L10" s="21"/>
      <c r="M10" s="19"/>
      <c r="N10" s="19"/>
      <c r="O10" s="27"/>
      <c r="P10" s="27"/>
      <c r="Q10" s="27"/>
      <c r="R10" s="19"/>
      <c r="S10" s="19"/>
    </row>
    <row r="11">
      <c r="A11" s="12"/>
      <c r="B11" s="12"/>
      <c r="C11" s="12"/>
      <c r="D11" s="12"/>
      <c r="E11" s="12"/>
      <c r="G11" s="12"/>
      <c r="H11" s="12"/>
      <c r="I11" s="12"/>
      <c r="K11" s="13"/>
      <c r="L11" s="21"/>
      <c r="M11" s="19"/>
      <c r="N11" s="19"/>
      <c r="O11" s="27"/>
      <c r="P11" s="27"/>
      <c r="Q11" s="27"/>
      <c r="R11" s="19"/>
      <c r="S11" s="19"/>
    </row>
    <row r="12">
      <c r="A12" s="12"/>
      <c r="B12" s="12"/>
      <c r="C12" s="12"/>
      <c r="D12" s="12"/>
      <c r="E12" s="12"/>
      <c r="G12" s="12"/>
      <c r="H12" s="12"/>
      <c r="I12" s="12"/>
      <c r="K12" s="13"/>
      <c r="L12" s="21"/>
      <c r="M12" s="19"/>
      <c r="N12" s="19"/>
      <c r="O12" s="27"/>
      <c r="P12" s="27"/>
      <c r="Q12" s="27"/>
      <c r="R12" s="19"/>
      <c r="S12" s="19"/>
    </row>
    <row r="13">
      <c r="A13" s="12"/>
      <c r="B13" s="12"/>
      <c r="C13" s="12"/>
      <c r="D13" s="12"/>
      <c r="E13" s="12"/>
      <c r="G13" s="12"/>
      <c r="H13" s="12"/>
      <c r="I13" s="12"/>
      <c r="K13" s="13"/>
      <c r="L13" s="21"/>
      <c r="M13" s="19"/>
      <c r="N13" s="19"/>
      <c r="O13" s="27"/>
      <c r="P13" s="27"/>
      <c r="Q13" s="27"/>
      <c r="R13" s="19"/>
      <c r="S13" s="19"/>
    </row>
    <row r="14">
      <c r="A14" s="12"/>
      <c r="B14" s="12"/>
      <c r="C14" s="12"/>
      <c r="D14" s="12"/>
      <c r="E14" s="12"/>
      <c r="G14" s="12"/>
      <c r="H14" s="12"/>
      <c r="I14" s="12"/>
      <c r="K14" s="13"/>
      <c r="L14" s="21"/>
      <c r="M14" s="19"/>
      <c r="N14" s="19"/>
      <c r="O14" s="27"/>
      <c r="P14" s="27"/>
      <c r="Q14" s="27"/>
      <c r="R14" s="19"/>
      <c r="S14" s="19"/>
    </row>
    <row r="15">
      <c r="A15" s="12"/>
      <c r="B15" s="12"/>
      <c r="C15" s="12"/>
      <c r="D15" s="12"/>
      <c r="E15" s="12"/>
      <c r="G15" s="12"/>
      <c r="H15" s="12"/>
      <c r="I15" s="12"/>
      <c r="K15" s="13"/>
      <c r="L15" s="21"/>
      <c r="M15" s="19"/>
      <c r="N15" s="19"/>
      <c r="O15" s="27"/>
      <c r="P15" s="27"/>
      <c r="Q15" s="27"/>
      <c r="R15" s="19"/>
      <c r="S15" s="19"/>
    </row>
    <row r="16">
      <c r="A16" s="12"/>
      <c r="B16" s="12"/>
      <c r="C16" s="12"/>
      <c r="D16" s="12"/>
      <c r="E16" s="12"/>
      <c r="G16" s="12"/>
      <c r="H16" s="12"/>
      <c r="I16" s="12"/>
      <c r="K16" s="13"/>
      <c r="L16" s="21"/>
      <c r="M16" s="19"/>
      <c r="N16" s="19"/>
      <c r="O16" s="27"/>
      <c r="P16" s="27"/>
      <c r="Q16" s="27"/>
      <c r="R16" s="19"/>
      <c r="S16" s="19"/>
    </row>
    <row r="17">
      <c r="A17" s="12"/>
      <c r="B17" s="12"/>
      <c r="C17" s="12"/>
      <c r="D17" s="12"/>
      <c r="E17" s="12"/>
      <c r="G17" s="12"/>
      <c r="H17" s="12"/>
      <c r="I17" s="12"/>
      <c r="K17" s="13"/>
      <c r="L17" s="21"/>
      <c r="M17" s="19"/>
      <c r="N17" s="19"/>
      <c r="O17" s="27"/>
      <c r="P17" s="27"/>
      <c r="Q17" s="27"/>
      <c r="R17" s="19"/>
      <c r="S17" s="19"/>
    </row>
    <row r="18">
      <c r="A18" s="12"/>
      <c r="B18" s="12"/>
      <c r="C18" s="12"/>
      <c r="D18" s="12"/>
      <c r="E18" s="12"/>
      <c r="G18" s="12"/>
      <c r="H18" s="12"/>
      <c r="I18" s="12"/>
      <c r="K18" s="13"/>
      <c r="L18" s="21"/>
      <c r="M18" s="19"/>
      <c r="N18" s="19"/>
      <c r="O18" s="27"/>
      <c r="P18" s="27"/>
      <c r="Q18" s="27"/>
      <c r="R18" s="19"/>
      <c r="S18" s="19"/>
    </row>
    <row r="19">
      <c r="A19" s="12"/>
      <c r="B19" s="12"/>
      <c r="C19" s="12"/>
      <c r="D19" s="12"/>
      <c r="E19" s="12"/>
      <c r="G19" s="12"/>
      <c r="H19" s="12"/>
      <c r="I19" s="12"/>
      <c r="K19" s="13"/>
      <c r="L19" s="21"/>
      <c r="M19" s="19"/>
      <c r="N19" s="19"/>
      <c r="O19" s="27"/>
      <c r="P19" s="27"/>
      <c r="Q19" s="27"/>
      <c r="R19" s="19"/>
      <c r="S19" s="19"/>
    </row>
    <row r="20">
      <c r="A20" s="12"/>
      <c r="B20" s="12"/>
      <c r="C20" s="12"/>
      <c r="D20" s="12"/>
      <c r="E20" s="12"/>
      <c r="G20" s="12"/>
      <c r="H20" s="12"/>
      <c r="I20" s="12"/>
      <c r="K20" s="13"/>
      <c r="L20" s="21"/>
      <c r="M20" s="19"/>
      <c r="N20" s="19"/>
      <c r="O20" s="27"/>
      <c r="P20" s="27"/>
      <c r="Q20" s="27"/>
      <c r="R20" s="19"/>
      <c r="S20" s="19"/>
    </row>
    <row r="21">
      <c r="A21" s="12"/>
      <c r="B21" s="12"/>
      <c r="C21" s="12"/>
      <c r="D21" s="12"/>
      <c r="E21" s="12"/>
      <c r="G21" s="12"/>
      <c r="H21" s="12"/>
      <c r="I21" s="12"/>
      <c r="K21" s="13"/>
      <c r="L21" s="21"/>
      <c r="M21" s="19"/>
      <c r="N21" s="19"/>
      <c r="O21" s="27"/>
      <c r="P21" s="27"/>
      <c r="Q21" s="27"/>
      <c r="R21" s="19"/>
      <c r="S21" s="19"/>
    </row>
    <row r="22">
      <c r="A22" s="12"/>
      <c r="B22" s="12"/>
      <c r="C22" s="12"/>
      <c r="D22" s="12"/>
      <c r="E22" s="12"/>
      <c r="G22" s="12"/>
      <c r="H22" s="12"/>
      <c r="I22" s="12"/>
      <c r="K22" s="13"/>
      <c r="L22" s="21"/>
      <c r="M22" s="19"/>
      <c r="N22" s="19"/>
      <c r="O22" s="27"/>
      <c r="P22" s="27"/>
      <c r="Q22" s="27"/>
      <c r="R22" s="19"/>
      <c r="S22" s="19"/>
    </row>
    <row r="23">
      <c r="A23" s="12"/>
      <c r="B23" s="12"/>
      <c r="C23" s="12"/>
      <c r="D23" s="12"/>
      <c r="E23" s="12"/>
      <c r="G23" s="12"/>
      <c r="H23" s="12"/>
      <c r="I23" s="12"/>
      <c r="K23" s="13"/>
      <c r="L23" s="21"/>
      <c r="M23" s="19"/>
      <c r="N23" s="19"/>
      <c r="O23" s="27"/>
      <c r="P23" s="27"/>
      <c r="Q23" s="27"/>
      <c r="R23" s="19"/>
      <c r="S23" s="19"/>
    </row>
    <row r="24">
      <c r="A24" s="12"/>
      <c r="B24" s="12"/>
      <c r="C24" s="12"/>
      <c r="D24" s="12"/>
      <c r="E24" s="12"/>
      <c r="G24" s="12"/>
      <c r="H24" s="12"/>
      <c r="I24" s="12"/>
      <c r="K24" s="13"/>
      <c r="L24" s="21"/>
      <c r="M24" s="19"/>
      <c r="N24" s="19"/>
      <c r="O24" s="27"/>
      <c r="P24" s="27"/>
      <c r="Q24" s="27"/>
      <c r="R24" s="19"/>
      <c r="S24" s="19"/>
    </row>
    <row r="25">
      <c r="A25" s="12"/>
      <c r="B25" s="12"/>
      <c r="C25" s="12"/>
      <c r="D25" s="12"/>
      <c r="E25" s="12"/>
      <c r="G25" s="12"/>
      <c r="H25" s="12"/>
      <c r="I25" s="12"/>
      <c r="K25" s="13"/>
      <c r="L25" s="21"/>
      <c r="M25" s="19"/>
      <c r="N25" s="19"/>
      <c r="O25" s="27"/>
      <c r="P25" s="27"/>
      <c r="Q25" s="27"/>
      <c r="R25" s="19"/>
      <c r="S25" s="19"/>
    </row>
    <row r="26">
      <c r="A26" s="12"/>
      <c r="B26" s="12"/>
      <c r="C26" s="12"/>
      <c r="D26" s="12"/>
      <c r="E26" s="12"/>
      <c r="G26" s="12"/>
      <c r="H26" s="12"/>
      <c r="I26" s="12"/>
      <c r="K26" s="13"/>
      <c r="L26" s="21"/>
      <c r="M26" s="19"/>
      <c r="N26" s="19"/>
      <c r="O26" s="27"/>
      <c r="P26" s="27"/>
      <c r="Q26" s="27"/>
      <c r="R26" s="19"/>
      <c r="S26" s="19"/>
    </row>
    <row r="27">
      <c r="A27" s="12"/>
      <c r="B27" s="12"/>
      <c r="C27" s="12"/>
      <c r="D27" s="12"/>
      <c r="E27" s="12"/>
      <c r="G27" s="12"/>
      <c r="H27" s="12"/>
      <c r="I27" s="12"/>
      <c r="K27" s="13"/>
      <c r="L27" s="21"/>
      <c r="M27" s="19"/>
      <c r="N27" s="19"/>
      <c r="O27" s="27"/>
      <c r="P27" s="27"/>
      <c r="Q27" s="27"/>
      <c r="R27" s="19"/>
      <c r="S27" s="19"/>
    </row>
    <row r="28">
      <c r="A28" s="12"/>
      <c r="B28" s="12"/>
      <c r="C28" s="12"/>
      <c r="D28" s="12"/>
      <c r="E28" s="12"/>
      <c r="G28" s="12"/>
      <c r="H28" s="12"/>
      <c r="I28" s="12"/>
      <c r="K28" s="13"/>
      <c r="L28" s="21"/>
      <c r="M28" s="19"/>
      <c r="N28" s="19"/>
      <c r="O28" s="19"/>
      <c r="P28" s="27"/>
      <c r="Q28" s="27"/>
      <c r="R28" s="19"/>
      <c r="S28" s="19"/>
    </row>
    <row r="29">
      <c r="K29" s="13"/>
      <c r="L29" s="21"/>
      <c r="M29" s="19"/>
      <c r="N29" s="19"/>
      <c r="O29" s="27"/>
      <c r="P29" s="27"/>
      <c r="Q29" s="27"/>
      <c r="R29" s="19"/>
      <c r="S29" s="19"/>
    </row>
    <row r="30">
      <c r="K30" s="13"/>
      <c r="L30" s="21"/>
      <c r="M30" s="19"/>
      <c r="N30" s="19"/>
      <c r="O30" s="27"/>
      <c r="P30" s="27"/>
      <c r="Q30" s="27"/>
      <c r="R30" s="19"/>
      <c r="S30" s="19"/>
    </row>
    <row r="31">
      <c r="K31" s="13"/>
      <c r="L31" s="21"/>
      <c r="M31" s="19"/>
      <c r="N31" s="19"/>
      <c r="O31" s="27"/>
      <c r="P31" s="27"/>
      <c r="Q31" s="27"/>
      <c r="R31" s="19"/>
      <c r="S31" s="19"/>
    </row>
    <row r="32">
      <c r="K32" s="13"/>
      <c r="L32" s="21"/>
      <c r="M32" s="19"/>
      <c r="N32" s="19"/>
      <c r="O32" s="27"/>
      <c r="P32" s="27"/>
      <c r="Q32" s="27"/>
      <c r="R32" s="19"/>
      <c r="S32" s="19"/>
    </row>
    <row r="33">
      <c r="K33" s="13"/>
      <c r="L33" s="21"/>
      <c r="M33" s="19"/>
      <c r="N33" s="19"/>
      <c r="O33" s="27"/>
      <c r="P33" s="27"/>
      <c r="Q33" s="27"/>
      <c r="R33" s="19"/>
      <c r="S33" s="19"/>
    </row>
    <row r="34">
      <c r="K34" s="13"/>
      <c r="L34" s="21"/>
      <c r="M34" s="19"/>
      <c r="N34" s="19"/>
      <c r="O34" s="27"/>
      <c r="P34" s="27"/>
      <c r="Q34" s="27"/>
      <c r="R34" s="19"/>
      <c r="S34" s="19"/>
    </row>
    <row r="35">
      <c r="K35" s="13"/>
      <c r="L35" s="21"/>
      <c r="M35" s="19"/>
      <c r="N35" s="19"/>
      <c r="O35" s="27"/>
      <c r="P35" s="27"/>
      <c r="Q35" s="27"/>
      <c r="R35" s="19"/>
      <c r="S35" s="19"/>
    </row>
    <row r="36">
      <c r="K36" s="13"/>
      <c r="L36" s="21"/>
      <c r="M36" s="19"/>
      <c r="N36" s="19"/>
      <c r="O36" s="27"/>
      <c r="P36" s="27"/>
      <c r="Q36" s="27"/>
      <c r="R36" s="19"/>
      <c r="S36" s="19"/>
    </row>
    <row r="37">
      <c r="K37" s="13"/>
      <c r="L37" s="21"/>
      <c r="M37" s="19"/>
      <c r="N37" s="19"/>
      <c r="O37" s="27"/>
      <c r="P37" s="27"/>
      <c r="Q37" s="27"/>
      <c r="R37" s="19"/>
      <c r="S37" s="19"/>
    </row>
    <row r="38">
      <c r="K38" s="13"/>
      <c r="L38" s="21"/>
      <c r="M38" s="19"/>
      <c r="N38" s="19"/>
      <c r="O38" s="27"/>
      <c r="P38" s="27"/>
      <c r="Q38" s="27"/>
      <c r="R38" s="19"/>
      <c r="S38" s="19"/>
    </row>
    <row r="39">
      <c r="K39" s="13"/>
      <c r="L39" s="21"/>
      <c r="M39" s="19"/>
      <c r="N39" s="19"/>
      <c r="O39" s="27"/>
      <c r="P39" s="27"/>
      <c r="Q39" s="27"/>
      <c r="R39" s="27"/>
      <c r="S39" s="27"/>
    </row>
    <row r="40">
      <c r="K40" s="13"/>
      <c r="L40" s="21"/>
      <c r="M40" s="19"/>
      <c r="N40" s="19"/>
      <c r="O40" s="27"/>
      <c r="P40" s="27"/>
      <c r="Q40" s="27"/>
      <c r="R40" s="27"/>
      <c r="S40" s="27"/>
    </row>
    <row r="41">
      <c r="K41" s="13"/>
      <c r="L41" s="21"/>
      <c r="M41" s="19"/>
      <c r="N41" s="19"/>
      <c r="O41" s="27"/>
      <c r="P41" s="27"/>
      <c r="Q41" s="27"/>
      <c r="R41" s="27"/>
      <c r="S41" s="27"/>
    </row>
    <row r="42">
      <c r="K42" s="13"/>
      <c r="L42" s="21"/>
      <c r="M42" s="19"/>
      <c r="N42" s="19"/>
      <c r="O42" s="27"/>
      <c r="P42" s="27"/>
      <c r="Q42" s="27"/>
      <c r="R42" s="27"/>
      <c r="S42" s="27"/>
    </row>
    <row r="43">
      <c r="K43" s="13"/>
      <c r="L43" s="21"/>
      <c r="M43" s="19"/>
      <c r="N43" s="19"/>
      <c r="O43" s="27"/>
      <c r="P43" s="27"/>
      <c r="Q43" s="27"/>
      <c r="R43" s="27"/>
      <c r="S43" s="27"/>
    </row>
    <row r="44">
      <c r="K44" s="13"/>
      <c r="L44" s="21"/>
      <c r="M44" s="19"/>
      <c r="N44" s="19"/>
      <c r="O44" s="27"/>
      <c r="P44" s="27"/>
      <c r="Q44" s="27"/>
      <c r="R44" s="27"/>
      <c r="S44" s="27"/>
    </row>
    <row r="45">
      <c r="K45" s="13"/>
      <c r="L45" s="21"/>
      <c r="M45" s="19"/>
      <c r="N45" s="19"/>
      <c r="O45" s="27"/>
      <c r="P45" s="27"/>
      <c r="Q45" s="27"/>
      <c r="R45" s="27"/>
      <c r="S45" s="27"/>
    </row>
    <row r="46">
      <c r="K46" s="13"/>
      <c r="L46" s="21"/>
      <c r="M46" s="19"/>
      <c r="N46" s="19"/>
      <c r="O46" s="27"/>
      <c r="P46" s="27"/>
      <c r="Q46" s="27"/>
      <c r="R46" s="27"/>
      <c r="S46" s="27"/>
    </row>
    <row r="47">
      <c r="K47" s="13"/>
      <c r="L47" s="21"/>
      <c r="M47" s="19"/>
      <c r="N47" s="19"/>
      <c r="O47" s="27"/>
      <c r="P47" s="27"/>
      <c r="Q47" s="27"/>
      <c r="R47" s="27"/>
      <c r="S47" s="27"/>
    </row>
    <row r="48">
      <c r="K48" s="13"/>
      <c r="L48" s="21"/>
      <c r="M48" s="19"/>
      <c r="N48" s="19"/>
      <c r="O48" s="27"/>
      <c r="P48" s="27"/>
      <c r="Q48" s="27"/>
      <c r="R48" s="27"/>
      <c r="S48" s="27"/>
    </row>
    <row r="49">
      <c r="K49" s="13"/>
      <c r="L49" s="21"/>
      <c r="M49" s="19"/>
      <c r="N49" s="19"/>
      <c r="O49" s="27"/>
      <c r="P49" s="27"/>
      <c r="Q49" s="27"/>
      <c r="R49" s="27"/>
      <c r="S49" s="27"/>
    </row>
    <row r="50">
      <c r="K50" s="13"/>
      <c r="L50" s="21"/>
      <c r="M50" s="19"/>
      <c r="N50" s="19"/>
      <c r="O50" s="27"/>
      <c r="P50" s="27"/>
      <c r="Q50" s="27"/>
      <c r="R50" s="27"/>
      <c r="S50" s="27"/>
    </row>
    <row r="51">
      <c r="K51" s="13"/>
      <c r="L51" s="21"/>
      <c r="M51" s="19"/>
      <c r="N51" s="19"/>
      <c r="O51" s="27"/>
      <c r="P51" s="27"/>
      <c r="Q51" s="27"/>
      <c r="R51" s="27"/>
      <c r="S51" s="27"/>
    </row>
    <row r="52">
      <c r="K52" s="13"/>
      <c r="L52" s="21"/>
      <c r="M52" s="19"/>
      <c r="N52" s="19"/>
      <c r="O52" s="27"/>
      <c r="P52" s="27"/>
      <c r="Q52" s="27"/>
      <c r="R52" s="27"/>
      <c r="S52" s="27"/>
    </row>
    <row r="53">
      <c r="K53" s="13"/>
      <c r="L53" s="21"/>
      <c r="M53" s="19"/>
      <c r="N53" s="19"/>
      <c r="O53" s="27"/>
      <c r="P53" s="27"/>
      <c r="Q53" s="27"/>
      <c r="R53" s="27"/>
      <c r="S53" s="27"/>
    </row>
    <row r="54">
      <c r="K54" s="13"/>
      <c r="L54" s="21"/>
      <c r="M54" s="19"/>
      <c r="N54" s="19"/>
      <c r="O54" s="27"/>
      <c r="P54" s="27"/>
      <c r="Q54" s="27"/>
      <c r="R54" s="27"/>
      <c r="S54" s="27"/>
    </row>
    <row r="55">
      <c r="K55" s="13"/>
      <c r="L55" s="21"/>
      <c r="M55" s="19"/>
      <c r="N55" s="19"/>
      <c r="O55" s="27"/>
      <c r="P55" s="27"/>
      <c r="Q55" s="27"/>
      <c r="R55" s="27"/>
      <c r="S55" s="27"/>
    </row>
    <row r="56">
      <c r="K56" s="13"/>
      <c r="L56" s="21"/>
      <c r="M56" s="19"/>
      <c r="N56" s="19"/>
      <c r="O56" s="27"/>
      <c r="P56" s="27"/>
      <c r="Q56" s="27"/>
      <c r="R56" s="27"/>
      <c r="S56" s="27"/>
    </row>
    <row r="57">
      <c r="K57" s="13"/>
      <c r="L57" s="21"/>
      <c r="M57" s="19"/>
      <c r="N57" s="19"/>
      <c r="O57" s="27"/>
      <c r="P57" s="27"/>
      <c r="Q57" s="27"/>
      <c r="R57" s="27"/>
      <c r="S57" s="27"/>
    </row>
    <row r="58">
      <c r="K58" s="13"/>
      <c r="L58" s="21"/>
      <c r="M58" s="19"/>
      <c r="N58" s="19"/>
      <c r="O58" s="27"/>
      <c r="P58" s="27"/>
      <c r="Q58" s="27"/>
      <c r="R58" s="27"/>
      <c r="S58" s="27"/>
    </row>
    <row r="59">
      <c r="K59" s="13"/>
      <c r="L59" s="21"/>
      <c r="M59" s="19"/>
      <c r="N59" s="19"/>
      <c r="O59" s="27"/>
      <c r="P59" s="27"/>
      <c r="Q59" s="27"/>
      <c r="R59" s="27"/>
      <c r="S59" s="27"/>
    </row>
    <row r="60">
      <c r="K60" s="13"/>
      <c r="L60" s="21"/>
      <c r="M60" s="19"/>
      <c r="N60" s="19"/>
      <c r="O60" s="27"/>
      <c r="P60" s="27"/>
      <c r="Q60" s="27"/>
      <c r="R60" s="27"/>
      <c r="S60" s="27"/>
    </row>
    <row r="61">
      <c r="K61" s="13"/>
      <c r="L61" s="21"/>
      <c r="M61" s="19"/>
      <c r="N61" s="19"/>
      <c r="O61" s="27"/>
      <c r="P61" s="27"/>
      <c r="Q61" s="27"/>
      <c r="R61" s="27"/>
      <c r="S61" s="27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0"/>
  </cols>
  <sheetData>
    <row r="1">
      <c r="A1" s="2" t="s">
        <v>1061</v>
      </c>
      <c r="B1" s="1"/>
      <c r="D1" s="3" t="s">
        <v>2</v>
      </c>
      <c r="E1" s="3" t="s">
        <v>3</v>
      </c>
      <c r="F1" s="3" t="s">
        <v>5</v>
      </c>
      <c r="G1" s="3" t="s">
        <v>6</v>
      </c>
      <c r="H1" s="3" t="s">
        <v>7</v>
      </c>
      <c r="I1" s="6" t="s">
        <v>9</v>
      </c>
      <c r="K1" s="10" t="s">
        <v>1061</v>
      </c>
      <c r="L1" s="10"/>
      <c r="M1" s="10"/>
      <c r="N1" s="10"/>
      <c r="O1" s="10"/>
      <c r="P1" s="10"/>
      <c r="Q1" s="10"/>
      <c r="R1" s="10"/>
      <c r="S1" s="10"/>
    </row>
    <row r="2">
      <c r="A2" s="1" t="s">
        <v>21</v>
      </c>
      <c r="B2" s="2" t="s">
        <v>1062</v>
      </c>
      <c r="D2" s="12"/>
      <c r="E2" s="12"/>
      <c r="F2" s="12"/>
      <c r="G2" s="12"/>
      <c r="H2" s="12"/>
      <c r="I2" s="12"/>
      <c r="K2" s="6" t="s">
        <v>8</v>
      </c>
      <c r="L2" s="6" t="s">
        <v>27</v>
      </c>
      <c r="M2" s="6" t="s">
        <v>28</v>
      </c>
      <c r="N2" s="6" t="s">
        <v>30</v>
      </c>
      <c r="O2" s="6" t="s">
        <v>25</v>
      </c>
      <c r="P2" s="6" t="s">
        <v>24</v>
      </c>
      <c r="Q2" s="6" t="s">
        <v>36</v>
      </c>
      <c r="R2" s="6" t="s">
        <v>35</v>
      </c>
      <c r="S2" s="6" t="s">
        <v>33</v>
      </c>
    </row>
    <row r="3">
      <c r="A3" s="1" t="s">
        <v>40</v>
      </c>
      <c r="B3" s="2" t="s">
        <v>102</v>
      </c>
      <c r="D3" s="12"/>
      <c r="E3" s="12"/>
      <c r="F3" s="12"/>
      <c r="G3" s="12"/>
      <c r="H3" s="12"/>
      <c r="I3" s="12"/>
      <c r="K3" s="13"/>
      <c r="L3" s="21"/>
      <c r="M3" s="19"/>
      <c r="N3" s="19"/>
      <c r="O3" s="19"/>
      <c r="P3" s="19"/>
      <c r="Q3" s="19"/>
      <c r="R3" s="19"/>
      <c r="S3" s="19"/>
    </row>
    <row r="4">
      <c r="A4" s="1" t="s">
        <v>50</v>
      </c>
      <c r="B4" s="2" t="s">
        <v>199</v>
      </c>
      <c r="D4" s="12"/>
      <c r="E4" s="12"/>
      <c r="F4" s="12"/>
      <c r="G4" s="12"/>
      <c r="H4" s="12"/>
      <c r="I4" s="12"/>
      <c r="K4" s="13"/>
      <c r="L4" s="21"/>
      <c r="M4" s="19"/>
      <c r="N4" s="19">
        <f>N3+M4</f>
        <v>0</v>
      </c>
      <c r="O4" s="27"/>
      <c r="P4" s="27"/>
      <c r="Q4" s="27"/>
      <c r="R4" s="19"/>
      <c r="S4" s="19"/>
    </row>
    <row r="5">
      <c r="A5" s="1" t="s">
        <v>66</v>
      </c>
      <c r="B5" s="2" t="s">
        <v>1063</v>
      </c>
      <c r="D5" s="12"/>
      <c r="E5" s="12"/>
      <c r="F5" s="12"/>
      <c r="G5" s="12"/>
      <c r="H5" s="12"/>
      <c r="I5" s="12"/>
      <c r="K5" s="13"/>
      <c r="L5" s="21"/>
      <c r="M5" s="19"/>
      <c r="N5" s="19"/>
      <c r="O5" s="27"/>
      <c r="P5" s="27"/>
      <c r="Q5" s="27"/>
      <c r="R5" s="19"/>
      <c r="S5" s="19"/>
    </row>
    <row r="6">
      <c r="A6" s="1" t="s">
        <v>70</v>
      </c>
      <c r="B6" s="2" t="s">
        <v>18</v>
      </c>
      <c r="D6" s="12"/>
      <c r="E6" s="12"/>
      <c r="F6" s="12"/>
      <c r="G6" s="12"/>
      <c r="H6" s="12"/>
      <c r="I6" s="12"/>
      <c r="K6" s="13"/>
      <c r="L6" s="21"/>
      <c r="M6" s="19"/>
      <c r="N6" s="19"/>
      <c r="O6" s="27"/>
      <c r="P6" s="27"/>
      <c r="Q6" s="27"/>
      <c r="R6" s="19"/>
      <c r="S6" s="19"/>
    </row>
    <row r="7">
      <c r="K7" s="13"/>
      <c r="L7" s="21"/>
      <c r="M7" s="19"/>
      <c r="N7" s="19"/>
      <c r="O7" s="27"/>
      <c r="P7" s="27"/>
      <c r="Q7" s="27"/>
      <c r="R7" s="19"/>
      <c r="S7" s="19"/>
    </row>
    <row r="8">
      <c r="A8" s="6" t="s">
        <v>8</v>
      </c>
      <c r="B8" s="6" t="s">
        <v>84</v>
      </c>
      <c r="C8" s="6" t="s">
        <v>25</v>
      </c>
      <c r="D8" s="6" t="s">
        <v>86</v>
      </c>
      <c r="E8" s="6" t="s">
        <v>87</v>
      </c>
      <c r="G8" s="6" t="s">
        <v>8</v>
      </c>
      <c r="H8" s="6" t="s">
        <v>13</v>
      </c>
      <c r="I8" s="6" t="s">
        <v>88</v>
      </c>
      <c r="K8" s="13"/>
      <c r="L8" s="21"/>
      <c r="M8" s="19"/>
      <c r="N8" s="19"/>
      <c r="O8" s="27"/>
      <c r="P8" s="27"/>
      <c r="Q8" s="27"/>
      <c r="R8" s="19"/>
      <c r="S8" s="19"/>
    </row>
    <row r="9">
      <c r="A9" s="12"/>
      <c r="B9" s="12"/>
      <c r="C9" s="12"/>
      <c r="D9" s="12"/>
      <c r="E9" s="12"/>
      <c r="G9" s="12"/>
      <c r="H9" s="12"/>
      <c r="I9" s="12"/>
      <c r="K9" s="13"/>
      <c r="L9" s="21"/>
      <c r="M9" s="19"/>
      <c r="N9" s="19"/>
      <c r="O9" s="27"/>
      <c r="P9" s="27"/>
      <c r="Q9" s="27"/>
      <c r="R9" s="19"/>
      <c r="S9" s="19"/>
    </row>
    <row r="10">
      <c r="A10" s="12"/>
      <c r="B10" s="12"/>
      <c r="C10" s="12"/>
      <c r="D10" s="12"/>
      <c r="E10" s="12"/>
      <c r="G10" s="12"/>
      <c r="H10" s="12"/>
      <c r="I10" s="12"/>
      <c r="K10" s="13"/>
      <c r="L10" s="21"/>
      <c r="M10" s="19"/>
      <c r="N10" s="19"/>
      <c r="O10" s="27"/>
      <c r="P10" s="27"/>
      <c r="Q10" s="27"/>
      <c r="R10" s="19"/>
      <c r="S10" s="19"/>
    </row>
    <row r="11">
      <c r="A11" s="12"/>
      <c r="B11" s="12"/>
      <c r="C11" s="12"/>
      <c r="D11" s="12"/>
      <c r="E11" s="12"/>
      <c r="G11" s="12"/>
      <c r="H11" s="12"/>
      <c r="I11" s="12"/>
      <c r="K11" s="13"/>
      <c r="L11" s="21"/>
      <c r="M11" s="19"/>
      <c r="N11" s="19"/>
      <c r="O11" s="27"/>
      <c r="P11" s="27"/>
      <c r="Q11" s="27"/>
      <c r="R11" s="19"/>
      <c r="S11" s="19"/>
    </row>
    <row r="12">
      <c r="A12" s="12"/>
      <c r="B12" s="12"/>
      <c r="C12" s="12"/>
      <c r="D12" s="12"/>
      <c r="E12" s="12"/>
      <c r="G12" s="12"/>
      <c r="H12" s="12"/>
      <c r="I12" s="12"/>
      <c r="K12" s="13"/>
      <c r="L12" s="21"/>
      <c r="M12" s="19"/>
      <c r="N12" s="19"/>
      <c r="O12" s="27"/>
      <c r="P12" s="27"/>
      <c r="Q12" s="27"/>
      <c r="R12" s="19"/>
      <c r="S12" s="19"/>
    </row>
    <row r="13">
      <c r="A13" s="12"/>
      <c r="B13" s="12"/>
      <c r="C13" s="12"/>
      <c r="D13" s="12"/>
      <c r="E13" s="12"/>
      <c r="G13" s="12"/>
      <c r="H13" s="12"/>
      <c r="I13" s="12"/>
      <c r="K13" s="13"/>
      <c r="L13" s="21"/>
      <c r="M13" s="19"/>
      <c r="N13" s="19"/>
      <c r="O13" s="27"/>
      <c r="P13" s="27"/>
      <c r="Q13" s="27"/>
      <c r="R13" s="19"/>
      <c r="S13" s="19"/>
    </row>
    <row r="14">
      <c r="A14" s="12"/>
      <c r="B14" s="12"/>
      <c r="C14" s="12"/>
      <c r="D14" s="12"/>
      <c r="E14" s="12"/>
      <c r="G14" s="12"/>
      <c r="H14" s="12"/>
      <c r="I14" s="12"/>
      <c r="K14" s="13"/>
      <c r="L14" s="21"/>
      <c r="M14" s="19"/>
      <c r="N14" s="19"/>
      <c r="O14" s="27"/>
      <c r="P14" s="27"/>
      <c r="Q14" s="27"/>
      <c r="R14" s="19"/>
      <c r="S14" s="19"/>
    </row>
    <row r="15">
      <c r="A15" s="12"/>
      <c r="B15" s="12"/>
      <c r="C15" s="12"/>
      <c r="D15" s="12"/>
      <c r="E15" s="12"/>
      <c r="G15" s="12"/>
      <c r="H15" s="12"/>
      <c r="I15" s="12"/>
      <c r="K15" s="13"/>
      <c r="L15" s="21"/>
      <c r="M15" s="19"/>
      <c r="N15" s="19"/>
      <c r="O15" s="27"/>
      <c r="P15" s="27"/>
      <c r="Q15" s="27"/>
      <c r="R15" s="19"/>
      <c r="S15" s="19"/>
    </row>
    <row r="16">
      <c r="A16" s="12"/>
      <c r="B16" s="12"/>
      <c r="C16" s="12"/>
      <c r="D16" s="12"/>
      <c r="E16" s="12"/>
      <c r="G16" s="12"/>
      <c r="H16" s="12"/>
      <c r="I16" s="12"/>
      <c r="K16" s="13"/>
      <c r="L16" s="21"/>
      <c r="M16" s="19"/>
      <c r="N16" s="19"/>
      <c r="O16" s="27"/>
      <c r="P16" s="27"/>
      <c r="Q16" s="27"/>
      <c r="R16" s="19"/>
      <c r="S16" s="19"/>
    </row>
    <row r="17">
      <c r="A17" s="12"/>
      <c r="B17" s="12"/>
      <c r="C17" s="12"/>
      <c r="D17" s="12"/>
      <c r="E17" s="12"/>
      <c r="G17" s="12"/>
      <c r="H17" s="12"/>
      <c r="I17" s="12"/>
      <c r="K17" s="13"/>
      <c r="L17" s="21"/>
      <c r="M17" s="19"/>
      <c r="N17" s="19"/>
      <c r="O17" s="27"/>
      <c r="P17" s="27"/>
      <c r="Q17" s="27"/>
      <c r="R17" s="19"/>
      <c r="S17" s="19"/>
    </row>
    <row r="18">
      <c r="A18" s="12"/>
      <c r="B18" s="12"/>
      <c r="C18" s="12"/>
      <c r="D18" s="12"/>
      <c r="E18" s="12"/>
      <c r="G18" s="12"/>
      <c r="H18" s="12"/>
      <c r="I18" s="12"/>
      <c r="K18" s="13"/>
      <c r="L18" s="21"/>
      <c r="M18" s="19"/>
      <c r="N18" s="19"/>
      <c r="O18" s="27"/>
      <c r="P18" s="27"/>
      <c r="Q18" s="27"/>
      <c r="R18" s="19"/>
      <c r="S18" s="19"/>
    </row>
    <row r="19">
      <c r="A19" s="12"/>
      <c r="B19" s="12"/>
      <c r="C19" s="12"/>
      <c r="D19" s="12"/>
      <c r="E19" s="12"/>
      <c r="G19" s="12"/>
      <c r="H19" s="12"/>
      <c r="I19" s="12"/>
      <c r="K19" s="13"/>
      <c r="L19" s="21"/>
      <c r="M19" s="19"/>
      <c r="N19" s="19"/>
      <c r="O19" s="27"/>
      <c r="P19" s="27"/>
      <c r="Q19" s="27"/>
      <c r="R19" s="19"/>
      <c r="S19" s="19"/>
    </row>
    <row r="20">
      <c r="A20" s="12"/>
      <c r="B20" s="12"/>
      <c r="C20" s="12"/>
      <c r="D20" s="12"/>
      <c r="E20" s="12"/>
      <c r="G20" s="12"/>
      <c r="H20" s="12"/>
      <c r="I20" s="12"/>
      <c r="K20" s="13"/>
      <c r="L20" s="21"/>
      <c r="M20" s="19"/>
      <c r="N20" s="19"/>
      <c r="O20" s="27"/>
      <c r="P20" s="27"/>
      <c r="Q20" s="27"/>
      <c r="R20" s="19"/>
      <c r="S20" s="19"/>
    </row>
    <row r="21">
      <c r="A21" s="12"/>
      <c r="B21" s="12"/>
      <c r="C21" s="12"/>
      <c r="D21" s="12"/>
      <c r="E21" s="12"/>
      <c r="G21" s="12"/>
      <c r="H21" s="12"/>
      <c r="I21" s="12"/>
      <c r="K21" s="13"/>
      <c r="L21" s="21"/>
      <c r="M21" s="19"/>
      <c r="N21" s="19"/>
      <c r="O21" s="27"/>
      <c r="P21" s="27"/>
      <c r="Q21" s="27"/>
      <c r="R21" s="19"/>
      <c r="S21" s="19"/>
    </row>
    <row r="22">
      <c r="A22" s="12"/>
      <c r="B22" s="12"/>
      <c r="C22" s="12"/>
      <c r="D22" s="12"/>
      <c r="E22" s="12"/>
      <c r="G22" s="12"/>
      <c r="H22" s="12"/>
      <c r="I22" s="12"/>
      <c r="K22" s="13"/>
      <c r="L22" s="21"/>
      <c r="M22" s="19"/>
      <c r="N22" s="19"/>
      <c r="O22" s="27"/>
      <c r="P22" s="27"/>
      <c r="Q22" s="27"/>
      <c r="R22" s="19"/>
      <c r="S22" s="19"/>
    </row>
    <row r="23">
      <c r="A23" s="12"/>
      <c r="B23" s="12"/>
      <c r="C23" s="12"/>
      <c r="D23" s="12"/>
      <c r="E23" s="12"/>
      <c r="G23" s="12"/>
      <c r="H23" s="12"/>
      <c r="I23" s="12"/>
      <c r="K23" s="13"/>
      <c r="L23" s="21"/>
      <c r="M23" s="19"/>
      <c r="N23" s="19"/>
      <c r="O23" s="27"/>
      <c r="P23" s="27"/>
      <c r="Q23" s="27"/>
      <c r="R23" s="19"/>
      <c r="S23" s="19"/>
    </row>
    <row r="24">
      <c r="A24" s="12"/>
      <c r="B24" s="12"/>
      <c r="C24" s="12"/>
      <c r="D24" s="12"/>
      <c r="E24" s="12"/>
      <c r="G24" s="12"/>
      <c r="H24" s="12"/>
      <c r="I24" s="12"/>
      <c r="K24" s="13"/>
      <c r="L24" s="21"/>
      <c r="M24" s="19"/>
      <c r="N24" s="19"/>
      <c r="O24" s="27"/>
      <c r="P24" s="27"/>
      <c r="Q24" s="27"/>
      <c r="R24" s="19"/>
      <c r="S24" s="19"/>
    </row>
    <row r="25">
      <c r="A25" s="12"/>
      <c r="B25" s="12"/>
      <c r="C25" s="12"/>
      <c r="D25" s="12"/>
      <c r="E25" s="12"/>
      <c r="G25" s="12"/>
      <c r="H25" s="12"/>
      <c r="I25" s="12"/>
      <c r="K25" s="13"/>
      <c r="L25" s="21"/>
      <c r="M25" s="19"/>
      <c r="N25" s="19"/>
      <c r="O25" s="27"/>
      <c r="P25" s="27"/>
      <c r="Q25" s="27"/>
      <c r="R25" s="19"/>
      <c r="S25" s="19"/>
    </row>
    <row r="26">
      <c r="A26" s="12"/>
      <c r="B26" s="12"/>
      <c r="C26" s="12"/>
      <c r="D26" s="12"/>
      <c r="E26" s="12"/>
      <c r="G26" s="12"/>
      <c r="H26" s="12"/>
      <c r="I26" s="12"/>
      <c r="K26" s="13"/>
      <c r="L26" s="21"/>
      <c r="M26" s="19"/>
      <c r="N26" s="19"/>
      <c r="O26" s="27"/>
      <c r="P26" s="27"/>
      <c r="Q26" s="27"/>
      <c r="R26" s="19"/>
      <c r="S26" s="19"/>
    </row>
    <row r="27">
      <c r="A27" s="12"/>
      <c r="B27" s="12"/>
      <c r="C27" s="12"/>
      <c r="D27" s="12"/>
      <c r="E27" s="12"/>
      <c r="G27" s="12"/>
      <c r="H27" s="12"/>
      <c r="I27" s="12"/>
      <c r="K27" s="13"/>
      <c r="L27" s="21"/>
      <c r="M27" s="19"/>
      <c r="N27" s="19"/>
      <c r="O27" s="27"/>
      <c r="P27" s="27"/>
      <c r="Q27" s="27"/>
      <c r="R27" s="19"/>
      <c r="S27" s="19"/>
    </row>
    <row r="28">
      <c r="A28" s="12"/>
      <c r="B28" s="12"/>
      <c r="C28" s="12"/>
      <c r="D28" s="12"/>
      <c r="E28" s="12"/>
      <c r="G28" s="12"/>
      <c r="H28" s="12"/>
      <c r="I28" s="12"/>
      <c r="K28" s="13"/>
      <c r="L28" s="21"/>
      <c r="M28" s="19"/>
      <c r="N28" s="19"/>
      <c r="O28" s="19"/>
      <c r="P28" s="27"/>
      <c r="Q28" s="27"/>
      <c r="R28" s="19"/>
      <c r="S28" s="19"/>
    </row>
    <row r="29">
      <c r="K29" s="13"/>
      <c r="L29" s="21"/>
      <c r="M29" s="19"/>
      <c r="N29" s="19"/>
      <c r="O29" s="27"/>
      <c r="P29" s="27"/>
      <c r="Q29" s="27"/>
      <c r="R29" s="19"/>
      <c r="S29" s="19"/>
    </row>
    <row r="30">
      <c r="K30" s="13"/>
      <c r="L30" s="21"/>
      <c r="M30" s="19"/>
      <c r="N30" s="19"/>
      <c r="O30" s="27"/>
      <c r="P30" s="27"/>
      <c r="Q30" s="27"/>
      <c r="R30" s="19"/>
      <c r="S30" s="19"/>
    </row>
    <row r="31">
      <c r="K31" s="13"/>
      <c r="L31" s="21"/>
      <c r="M31" s="19"/>
      <c r="N31" s="19"/>
      <c r="O31" s="27"/>
      <c r="P31" s="27"/>
      <c r="Q31" s="27"/>
      <c r="R31" s="19"/>
      <c r="S31" s="19"/>
    </row>
    <row r="32">
      <c r="K32" s="13"/>
      <c r="L32" s="21"/>
      <c r="M32" s="19"/>
      <c r="N32" s="19"/>
      <c r="O32" s="27"/>
      <c r="P32" s="27"/>
      <c r="Q32" s="27"/>
      <c r="R32" s="19"/>
      <c r="S32" s="19"/>
    </row>
    <row r="33">
      <c r="K33" s="13"/>
      <c r="L33" s="21"/>
      <c r="M33" s="19"/>
      <c r="N33" s="19"/>
      <c r="O33" s="27"/>
      <c r="P33" s="27"/>
      <c r="Q33" s="27"/>
      <c r="R33" s="19"/>
      <c r="S33" s="19"/>
    </row>
    <row r="34">
      <c r="K34" s="13"/>
      <c r="L34" s="21"/>
      <c r="M34" s="19"/>
      <c r="N34" s="19"/>
      <c r="O34" s="27"/>
      <c r="P34" s="27"/>
      <c r="Q34" s="27"/>
      <c r="R34" s="19"/>
      <c r="S34" s="19"/>
    </row>
    <row r="35">
      <c r="K35" s="13"/>
      <c r="L35" s="21"/>
      <c r="M35" s="19"/>
      <c r="N35" s="19"/>
      <c r="O35" s="27"/>
      <c r="P35" s="27"/>
      <c r="Q35" s="27"/>
      <c r="R35" s="19"/>
      <c r="S35" s="19"/>
    </row>
    <row r="36">
      <c r="K36" s="13"/>
      <c r="L36" s="21"/>
      <c r="M36" s="19"/>
      <c r="N36" s="19"/>
      <c r="O36" s="27"/>
      <c r="P36" s="27"/>
      <c r="Q36" s="27"/>
      <c r="R36" s="19"/>
      <c r="S36" s="19"/>
    </row>
    <row r="37">
      <c r="K37" s="13"/>
      <c r="L37" s="21"/>
      <c r="M37" s="19"/>
      <c r="N37" s="19"/>
      <c r="O37" s="27"/>
      <c r="P37" s="27"/>
      <c r="Q37" s="27"/>
      <c r="R37" s="19"/>
      <c r="S37" s="19"/>
    </row>
    <row r="38">
      <c r="K38" s="13"/>
      <c r="L38" s="21"/>
      <c r="M38" s="19"/>
      <c r="N38" s="19"/>
      <c r="O38" s="27"/>
      <c r="P38" s="27"/>
      <c r="Q38" s="27"/>
      <c r="R38" s="19"/>
      <c r="S38" s="19"/>
    </row>
    <row r="39">
      <c r="K39" s="13"/>
      <c r="L39" s="21"/>
      <c r="M39" s="19"/>
      <c r="N39" s="19"/>
      <c r="O39" s="27"/>
      <c r="P39" s="27"/>
      <c r="Q39" s="27"/>
      <c r="R39" s="27"/>
      <c r="S39" s="27"/>
    </row>
    <row r="40">
      <c r="K40" s="13"/>
      <c r="L40" s="21"/>
      <c r="M40" s="19"/>
      <c r="N40" s="19"/>
      <c r="O40" s="27"/>
      <c r="P40" s="27"/>
      <c r="Q40" s="27"/>
      <c r="R40" s="27"/>
      <c r="S40" s="27"/>
    </row>
    <row r="41">
      <c r="K41" s="13"/>
      <c r="L41" s="21"/>
      <c r="M41" s="19"/>
      <c r="N41" s="19"/>
      <c r="O41" s="27"/>
      <c r="P41" s="27"/>
      <c r="Q41" s="27"/>
      <c r="R41" s="27"/>
      <c r="S41" s="27"/>
    </row>
    <row r="42">
      <c r="K42" s="13"/>
      <c r="L42" s="21"/>
      <c r="M42" s="19"/>
      <c r="N42" s="19"/>
      <c r="O42" s="27"/>
      <c r="P42" s="27"/>
      <c r="Q42" s="27"/>
      <c r="R42" s="27"/>
      <c r="S42" s="27"/>
    </row>
    <row r="43">
      <c r="K43" s="13"/>
      <c r="L43" s="21"/>
      <c r="M43" s="19"/>
      <c r="N43" s="19"/>
      <c r="O43" s="27"/>
      <c r="P43" s="27"/>
      <c r="Q43" s="27"/>
      <c r="R43" s="27"/>
      <c r="S43" s="27"/>
    </row>
    <row r="44">
      <c r="K44" s="13"/>
      <c r="L44" s="21"/>
      <c r="M44" s="19"/>
      <c r="N44" s="19"/>
      <c r="O44" s="27"/>
      <c r="P44" s="27"/>
      <c r="Q44" s="27"/>
      <c r="R44" s="27"/>
      <c r="S44" s="27"/>
    </row>
    <row r="45">
      <c r="K45" s="13"/>
      <c r="L45" s="21"/>
      <c r="M45" s="19"/>
      <c r="N45" s="19"/>
      <c r="O45" s="27"/>
      <c r="P45" s="27"/>
      <c r="Q45" s="27"/>
      <c r="R45" s="27"/>
      <c r="S45" s="27"/>
    </row>
    <row r="46">
      <c r="K46" s="13"/>
      <c r="L46" s="21"/>
      <c r="M46" s="19"/>
      <c r="N46" s="19"/>
      <c r="O46" s="27"/>
      <c r="P46" s="27"/>
      <c r="Q46" s="27"/>
      <c r="R46" s="27"/>
      <c r="S46" s="27"/>
    </row>
    <row r="47">
      <c r="K47" s="13"/>
      <c r="L47" s="21"/>
      <c r="M47" s="19"/>
      <c r="N47" s="19"/>
      <c r="O47" s="27"/>
      <c r="P47" s="27"/>
      <c r="Q47" s="27"/>
      <c r="R47" s="27"/>
      <c r="S47" s="27"/>
    </row>
    <row r="48">
      <c r="K48" s="13"/>
      <c r="L48" s="21"/>
      <c r="M48" s="19"/>
      <c r="N48" s="19"/>
      <c r="O48" s="27"/>
      <c r="P48" s="27"/>
      <c r="Q48" s="27"/>
      <c r="R48" s="27"/>
      <c r="S48" s="27"/>
    </row>
    <row r="49">
      <c r="K49" s="13"/>
      <c r="L49" s="21"/>
      <c r="M49" s="19"/>
      <c r="N49" s="19"/>
      <c r="O49" s="27"/>
      <c r="P49" s="27"/>
      <c r="Q49" s="27"/>
      <c r="R49" s="27"/>
      <c r="S49" s="27"/>
    </row>
    <row r="50">
      <c r="K50" s="13"/>
      <c r="L50" s="21"/>
      <c r="M50" s="19"/>
      <c r="N50" s="19"/>
      <c r="O50" s="27"/>
      <c r="P50" s="27"/>
      <c r="Q50" s="27"/>
      <c r="R50" s="27"/>
      <c r="S50" s="27"/>
    </row>
    <row r="51">
      <c r="K51" s="13"/>
      <c r="L51" s="21"/>
      <c r="M51" s="19"/>
      <c r="N51" s="19"/>
      <c r="O51" s="27"/>
      <c r="P51" s="27"/>
      <c r="Q51" s="27"/>
      <c r="R51" s="27"/>
      <c r="S51" s="27"/>
    </row>
    <row r="52">
      <c r="K52" s="13"/>
      <c r="L52" s="21"/>
      <c r="M52" s="19"/>
      <c r="N52" s="19"/>
      <c r="O52" s="27"/>
      <c r="P52" s="27"/>
      <c r="Q52" s="27"/>
      <c r="R52" s="27"/>
      <c r="S52" s="27"/>
    </row>
    <row r="53">
      <c r="K53" s="13"/>
      <c r="L53" s="21"/>
      <c r="M53" s="19"/>
      <c r="N53" s="19"/>
      <c r="O53" s="27"/>
      <c r="P53" s="27"/>
      <c r="Q53" s="27"/>
      <c r="R53" s="27"/>
      <c r="S53" s="27"/>
    </row>
    <row r="54">
      <c r="K54" s="13"/>
      <c r="L54" s="21"/>
      <c r="M54" s="19"/>
      <c r="N54" s="19"/>
      <c r="O54" s="27"/>
      <c r="P54" s="27"/>
      <c r="Q54" s="27"/>
      <c r="R54" s="27"/>
      <c r="S54" s="27"/>
    </row>
    <row r="55">
      <c r="K55" s="13"/>
      <c r="L55" s="21"/>
      <c r="M55" s="19"/>
      <c r="N55" s="19"/>
      <c r="O55" s="27"/>
      <c r="P55" s="27"/>
      <c r="Q55" s="27"/>
      <c r="R55" s="27"/>
      <c r="S55" s="27"/>
    </row>
    <row r="56">
      <c r="K56" s="13"/>
      <c r="L56" s="21"/>
      <c r="M56" s="19"/>
      <c r="N56" s="19"/>
      <c r="O56" s="27"/>
      <c r="P56" s="27"/>
      <c r="Q56" s="27"/>
      <c r="R56" s="27"/>
      <c r="S56" s="27"/>
    </row>
    <row r="57">
      <c r="K57" s="13"/>
      <c r="L57" s="21"/>
      <c r="M57" s="19"/>
      <c r="N57" s="19"/>
      <c r="O57" s="27"/>
      <c r="P57" s="27"/>
      <c r="Q57" s="27"/>
      <c r="R57" s="27"/>
      <c r="S57" s="27"/>
    </row>
    <row r="58">
      <c r="K58" s="13"/>
      <c r="L58" s="21"/>
      <c r="M58" s="19"/>
      <c r="N58" s="19"/>
      <c r="O58" s="27"/>
      <c r="P58" s="27"/>
      <c r="Q58" s="27"/>
      <c r="R58" s="27"/>
      <c r="S58" s="27"/>
    </row>
    <row r="59">
      <c r="K59" s="13"/>
      <c r="L59" s="21"/>
      <c r="M59" s="19"/>
      <c r="N59" s="19"/>
      <c r="O59" s="27"/>
      <c r="P59" s="27"/>
      <c r="Q59" s="27"/>
      <c r="R59" s="27"/>
      <c r="S59" s="27"/>
    </row>
    <row r="60">
      <c r="K60" s="13"/>
      <c r="L60" s="21"/>
      <c r="M60" s="19"/>
      <c r="N60" s="19"/>
      <c r="O60" s="27"/>
      <c r="P60" s="27"/>
      <c r="Q60" s="27"/>
      <c r="R60" s="27"/>
      <c r="S60" s="27"/>
    </row>
    <row r="61">
      <c r="K61" s="13"/>
      <c r="L61" s="21"/>
      <c r="M61" s="19"/>
      <c r="N61" s="19"/>
      <c r="O61" s="27"/>
      <c r="P61" s="27"/>
      <c r="Q61" s="27"/>
      <c r="R61" s="27"/>
      <c r="S61" s="27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88"/>
  </cols>
  <sheetData>
    <row r="1">
      <c r="A1" s="2" t="s">
        <v>1</v>
      </c>
      <c r="B1" s="1"/>
      <c r="D1" s="3" t="s">
        <v>2</v>
      </c>
      <c r="E1" s="3" t="s">
        <v>3</v>
      </c>
      <c r="F1" s="3" t="s">
        <v>5</v>
      </c>
      <c r="G1" s="3" t="s">
        <v>6</v>
      </c>
      <c r="H1" s="3" t="s">
        <v>7</v>
      </c>
      <c r="I1" s="6" t="s">
        <v>9</v>
      </c>
      <c r="K1" s="10" t="s">
        <v>1064</v>
      </c>
      <c r="L1" s="10"/>
      <c r="M1" s="10"/>
      <c r="N1" s="10"/>
      <c r="O1" s="10"/>
      <c r="P1" s="10"/>
      <c r="Q1" s="10"/>
      <c r="R1" s="10"/>
      <c r="S1" s="10"/>
    </row>
    <row r="2">
      <c r="A2" s="1" t="s">
        <v>21</v>
      </c>
      <c r="B2" s="2" t="s">
        <v>233</v>
      </c>
      <c r="D2" s="12"/>
      <c r="E2" s="12"/>
      <c r="F2" s="12"/>
      <c r="G2" s="12"/>
      <c r="H2" s="12"/>
      <c r="I2" s="12"/>
      <c r="K2" s="6" t="s">
        <v>8</v>
      </c>
      <c r="L2" s="6" t="s">
        <v>27</v>
      </c>
      <c r="M2" s="6" t="s">
        <v>28</v>
      </c>
      <c r="N2" s="6" t="s">
        <v>30</v>
      </c>
      <c r="O2" s="6" t="s">
        <v>25</v>
      </c>
      <c r="P2" s="6" t="s">
        <v>24</v>
      </c>
      <c r="Q2" s="6" t="s">
        <v>36</v>
      </c>
      <c r="R2" s="6" t="s">
        <v>35</v>
      </c>
      <c r="S2" s="6" t="s">
        <v>33</v>
      </c>
    </row>
    <row r="3">
      <c r="A3" s="1" t="s">
        <v>40</v>
      </c>
      <c r="B3" s="2" t="s">
        <v>1065</v>
      </c>
      <c r="D3" s="12"/>
      <c r="E3" s="12"/>
      <c r="F3" s="12"/>
      <c r="G3" s="12"/>
      <c r="H3" s="12"/>
      <c r="I3" s="12"/>
      <c r="K3" s="13"/>
      <c r="L3" s="21"/>
      <c r="M3" s="19"/>
      <c r="N3" s="19"/>
      <c r="O3" s="19"/>
      <c r="P3" s="19"/>
      <c r="Q3" s="19"/>
      <c r="R3" s="19"/>
      <c r="S3" s="19"/>
    </row>
    <row r="4">
      <c r="A4" s="1" t="s">
        <v>50</v>
      </c>
      <c r="B4" s="2" t="s">
        <v>205</v>
      </c>
      <c r="D4" s="12"/>
      <c r="E4" s="12"/>
      <c r="F4" s="12"/>
      <c r="G4" s="12"/>
      <c r="H4" s="12"/>
      <c r="I4" s="12"/>
      <c r="K4" s="13"/>
      <c r="L4" s="21"/>
      <c r="M4" s="19"/>
      <c r="N4" s="19">
        <f>N3+M4</f>
        <v>0</v>
      </c>
      <c r="O4" s="27"/>
      <c r="P4" s="27"/>
      <c r="Q4" s="27"/>
      <c r="R4" s="19"/>
      <c r="S4" s="19"/>
    </row>
    <row r="5">
      <c r="A5" s="1" t="s">
        <v>66</v>
      </c>
      <c r="B5" s="2" t="s">
        <v>1067</v>
      </c>
      <c r="D5" s="12"/>
      <c r="E5" s="12"/>
      <c r="F5" s="12"/>
      <c r="G5" s="12"/>
      <c r="H5" s="12"/>
      <c r="I5" s="12"/>
      <c r="K5" s="13"/>
      <c r="L5" s="21"/>
      <c r="M5" s="19"/>
      <c r="N5" s="19"/>
      <c r="O5" s="27"/>
      <c r="P5" s="27"/>
      <c r="Q5" s="27"/>
      <c r="R5" s="19"/>
      <c r="S5" s="19"/>
    </row>
    <row r="6">
      <c r="A6" s="1" t="s">
        <v>70</v>
      </c>
      <c r="B6" s="2" t="s">
        <v>18</v>
      </c>
      <c r="D6" s="12"/>
      <c r="E6" s="12"/>
      <c r="F6" s="12"/>
      <c r="G6" s="12"/>
      <c r="H6" s="12"/>
      <c r="I6" s="12"/>
      <c r="K6" s="13"/>
      <c r="L6" s="21"/>
      <c r="M6" s="19"/>
      <c r="N6" s="19"/>
      <c r="O6" s="27"/>
      <c r="P6" s="27"/>
      <c r="Q6" s="27"/>
      <c r="R6" s="19"/>
      <c r="S6" s="19"/>
    </row>
    <row r="7">
      <c r="K7" s="13"/>
      <c r="L7" s="21"/>
      <c r="M7" s="19"/>
      <c r="N7" s="19"/>
      <c r="O7" s="27"/>
      <c r="P7" s="27"/>
      <c r="Q7" s="27"/>
      <c r="R7" s="19"/>
      <c r="S7" s="19"/>
    </row>
    <row r="8">
      <c r="A8" s="6" t="s">
        <v>8</v>
      </c>
      <c r="B8" s="6" t="s">
        <v>84</v>
      </c>
      <c r="C8" s="6" t="s">
        <v>25</v>
      </c>
      <c r="D8" s="6" t="s">
        <v>86</v>
      </c>
      <c r="E8" s="6" t="s">
        <v>87</v>
      </c>
      <c r="G8" s="6" t="s">
        <v>8</v>
      </c>
      <c r="H8" s="6" t="s">
        <v>13</v>
      </c>
      <c r="I8" s="6" t="s">
        <v>88</v>
      </c>
      <c r="K8" s="13"/>
      <c r="L8" s="21"/>
      <c r="M8" s="19"/>
      <c r="N8" s="19"/>
      <c r="O8" s="27"/>
      <c r="P8" s="27"/>
      <c r="Q8" s="27"/>
      <c r="R8" s="19"/>
      <c r="S8" s="19"/>
    </row>
    <row r="9">
      <c r="A9" s="12"/>
      <c r="B9" s="12"/>
      <c r="C9" s="12"/>
      <c r="D9" s="12"/>
      <c r="E9" s="12"/>
      <c r="G9" s="12"/>
      <c r="H9" s="12"/>
      <c r="I9" s="12"/>
      <c r="K9" s="13"/>
      <c r="L9" s="21"/>
      <c r="M9" s="19"/>
      <c r="N9" s="19"/>
      <c r="O9" s="27"/>
      <c r="P9" s="27"/>
      <c r="Q9" s="27"/>
      <c r="R9" s="19"/>
      <c r="S9" s="19"/>
    </row>
    <row r="10">
      <c r="A10" s="12"/>
      <c r="B10" s="12"/>
      <c r="C10" s="12"/>
      <c r="D10" s="12"/>
      <c r="E10" s="12"/>
      <c r="G10" s="12"/>
      <c r="H10" s="12"/>
      <c r="I10" s="12"/>
      <c r="K10" s="13"/>
      <c r="L10" s="21"/>
      <c r="M10" s="19"/>
      <c r="N10" s="19"/>
      <c r="O10" s="27"/>
      <c r="P10" s="27"/>
      <c r="Q10" s="27"/>
      <c r="R10" s="19"/>
      <c r="S10" s="19"/>
    </row>
    <row r="11">
      <c r="A11" s="12"/>
      <c r="B11" s="12"/>
      <c r="C11" s="12"/>
      <c r="D11" s="12"/>
      <c r="E11" s="12"/>
      <c r="G11" s="12"/>
      <c r="H11" s="12"/>
      <c r="I11" s="12"/>
      <c r="K11" s="13"/>
      <c r="L11" s="21"/>
      <c r="M11" s="19"/>
      <c r="N11" s="19"/>
      <c r="O11" s="27"/>
      <c r="P11" s="27"/>
      <c r="Q11" s="27"/>
      <c r="R11" s="19"/>
      <c r="S11" s="19"/>
    </row>
    <row r="12">
      <c r="A12" s="12"/>
      <c r="B12" s="12"/>
      <c r="C12" s="12"/>
      <c r="D12" s="12"/>
      <c r="E12" s="12"/>
      <c r="G12" s="12"/>
      <c r="H12" s="12"/>
      <c r="I12" s="12"/>
      <c r="K12" s="13"/>
      <c r="L12" s="21"/>
      <c r="M12" s="19"/>
      <c r="N12" s="19"/>
      <c r="O12" s="27"/>
      <c r="P12" s="27"/>
      <c r="Q12" s="27"/>
      <c r="R12" s="19"/>
      <c r="S12" s="19"/>
    </row>
    <row r="13">
      <c r="A13" s="12"/>
      <c r="B13" s="12"/>
      <c r="C13" s="12"/>
      <c r="D13" s="12"/>
      <c r="E13" s="12"/>
      <c r="G13" s="12"/>
      <c r="H13" s="12"/>
      <c r="I13" s="12"/>
      <c r="K13" s="13"/>
      <c r="L13" s="21"/>
      <c r="M13" s="19"/>
      <c r="N13" s="19"/>
      <c r="O13" s="27"/>
      <c r="P13" s="27"/>
      <c r="Q13" s="27"/>
      <c r="R13" s="19"/>
      <c r="S13" s="19"/>
    </row>
    <row r="14">
      <c r="A14" s="12"/>
      <c r="B14" s="12"/>
      <c r="C14" s="12"/>
      <c r="D14" s="12"/>
      <c r="E14" s="12"/>
      <c r="G14" s="12"/>
      <c r="H14" s="12"/>
      <c r="I14" s="12"/>
      <c r="K14" s="13"/>
      <c r="L14" s="21"/>
      <c r="M14" s="19"/>
      <c r="N14" s="19"/>
      <c r="O14" s="27"/>
      <c r="P14" s="27"/>
      <c r="Q14" s="27"/>
      <c r="R14" s="19"/>
      <c r="S14" s="19"/>
    </row>
    <row r="15">
      <c r="A15" s="12"/>
      <c r="B15" s="12"/>
      <c r="C15" s="12"/>
      <c r="D15" s="12"/>
      <c r="E15" s="12"/>
      <c r="G15" s="12"/>
      <c r="H15" s="12"/>
      <c r="I15" s="12"/>
      <c r="K15" s="13"/>
      <c r="L15" s="21"/>
      <c r="M15" s="19"/>
      <c r="N15" s="19"/>
      <c r="O15" s="27"/>
      <c r="P15" s="27"/>
      <c r="Q15" s="27"/>
      <c r="R15" s="19"/>
      <c r="S15" s="19"/>
    </row>
    <row r="16">
      <c r="A16" s="12"/>
      <c r="B16" s="12"/>
      <c r="C16" s="12"/>
      <c r="D16" s="12"/>
      <c r="E16" s="12"/>
      <c r="G16" s="12"/>
      <c r="H16" s="12"/>
      <c r="I16" s="12"/>
      <c r="K16" s="13"/>
      <c r="L16" s="21"/>
      <c r="M16" s="19"/>
      <c r="N16" s="19"/>
      <c r="O16" s="27"/>
      <c r="P16" s="27"/>
      <c r="Q16" s="27"/>
      <c r="R16" s="19"/>
      <c r="S16" s="19"/>
    </row>
    <row r="17">
      <c r="A17" s="12"/>
      <c r="B17" s="12"/>
      <c r="C17" s="12"/>
      <c r="D17" s="12"/>
      <c r="E17" s="12"/>
      <c r="G17" s="12"/>
      <c r="H17" s="12"/>
      <c r="I17" s="12"/>
      <c r="K17" s="13"/>
      <c r="L17" s="21"/>
      <c r="M17" s="19"/>
      <c r="N17" s="19"/>
      <c r="O17" s="27"/>
      <c r="P17" s="27"/>
      <c r="Q17" s="27"/>
      <c r="R17" s="19"/>
      <c r="S17" s="19"/>
    </row>
    <row r="18">
      <c r="A18" s="12"/>
      <c r="B18" s="12"/>
      <c r="C18" s="12"/>
      <c r="D18" s="12"/>
      <c r="E18" s="12"/>
      <c r="G18" s="12"/>
      <c r="H18" s="12"/>
      <c r="I18" s="12"/>
      <c r="K18" s="13"/>
      <c r="L18" s="21"/>
      <c r="M18" s="19"/>
      <c r="N18" s="19"/>
      <c r="O18" s="27"/>
      <c r="P18" s="27"/>
      <c r="Q18" s="27"/>
      <c r="R18" s="19"/>
      <c r="S18" s="19"/>
    </row>
    <row r="19">
      <c r="A19" s="12"/>
      <c r="B19" s="12"/>
      <c r="C19" s="12"/>
      <c r="D19" s="12"/>
      <c r="E19" s="12"/>
      <c r="G19" s="12"/>
      <c r="H19" s="12"/>
      <c r="I19" s="12"/>
      <c r="K19" s="13"/>
      <c r="L19" s="21"/>
      <c r="M19" s="19"/>
      <c r="N19" s="19"/>
      <c r="O19" s="27"/>
      <c r="P19" s="27"/>
      <c r="Q19" s="27"/>
      <c r="R19" s="19"/>
      <c r="S19" s="19"/>
    </row>
    <row r="20">
      <c r="A20" s="12"/>
      <c r="B20" s="12"/>
      <c r="C20" s="12"/>
      <c r="D20" s="12"/>
      <c r="E20" s="12"/>
      <c r="G20" s="12"/>
      <c r="H20" s="12"/>
      <c r="I20" s="12"/>
      <c r="K20" s="13"/>
      <c r="L20" s="21"/>
      <c r="M20" s="19"/>
      <c r="N20" s="19"/>
      <c r="O20" s="27"/>
      <c r="P20" s="27"/>
      <c r="Q20" s="27"/>
      <c r="R20" s="19"/>
      <c r="S20" s="19"/>
    </row>
    <row r="21">
      <c r="A21" s="12"/>
      <c r="B21" s="12"/>
      <c r="C21" s="12"/>
      <c r="D21" s="12"/>
      <c r="E21" s="12"/>
      <c r="G21" s="12"/>
      <c r="H21" s="12"/>
      <c r="I21" s="12"/>
      <c r="K21" s="13"/>
      <c r="L21" s="21"/>
      <c r="M21" s="19"/>
      <c r="N21" s="19"/>
      <c r="O21" s="27"/>
      <c r="P21" s="27"/>
      <c r="Q21" s="27"/>
      <c r="R21" s="19"/>
      <c r="S21" s="19"/>
    </row>
    <row r="22">
      <c r="A22" s="12"/>
      <c r="B22" s="12"/>
      <c r="C22" s="12"/>
      <c r="D22" s="12"/>
      <c r="E22" s="12"/>
      <c r="G22" s="12"/>
      <c r="H22" s="12"/>
      <c r="I22" s="12"/>
      <c r="K22" s="13"/>
      <c r="L22" s="21"/>
      <c r="M22" s="19"/>
      <c r="N22" s="19"/>
      <c r="O22" s="27"/>
      <c r="P22" s="27"/>
      <c r="Q22" s="27"/>
      <c r="R22" s="19"/>
      <c r="S22" s="19"/>
    </row>
    <row r="23">
      <c r="A23" s="12"/>
      <c r="B23" s="12"/>
      <c r="C23" s="12"/>
      <c r="D23" s="12"/>
      <c r="E23" s="12"/>
      <c r="G23" s="12"/>
      <c r="H23" s="12"/>
      <c r="I23" s="12"/>
      <c r="K23" s="13"/>
      <c r="L23" s="21"/>
      <c r="M23" s="19"/>
      <c r="N23" s="19"/>
      <c r="O23" s="27"/>
      <c r="P23" s="27"/>
      <c r="Q23" s="27"/>
      <c r="R23" s="19"/>
      <c r="S23" s="19"/>
    </row>
    <row r="24">
      <c r="A24" s="12"/>
      <c r="B24" s="12"/>
      <c r="C24" s="12"/>
      <c r="D24" s="12"/>
      <c r="E24" s="12"/>
      <c r="G24" s="12"/>
      <c r="H24" s="12"/>
      <c r="I24" s="12"/>
      <c r="K24" s="13"/>
      <c r="L24" s="21"/>
      <c r="M24" s="19"/>
      <c r="N24" s="19"/>
      <c r="O24" s="27"/>
      <c r="P24" s="27"/>
      <c r="Q24" s="27"/>
      <c r="R24" s="19"/>
      <c r="S24" s="19"/>
    </row>
    <row r="25">
      <c r="A25" s="12"/>
      <c r="B25" s="12"/>
      <c r="C25" s="12"/>
      <c r="D25" s="12"/>
      <c r="E25" s="12"/>
      <c r="G25" s="12"/>
      <c r="H25" s="12"/>
      <c r="I25" s="12"/>
      <c r="K25" s="13"/>
      <c r="L25" s="21"/>
      <c r="M25" s="19"/>
      <c r="N25" s="19"/>
      <c r="O25" s="27"/>
      <c r="P25" s="27"/>
      <c r="Q25" s="27"/>
      <c r="R25" s="19"/>
      <c r="S25" s="19"/>
    </row>
    <row r="26">
      <c r="A26" s="12"/>
      <c r="B26" s="12"/>
      <c r="C26" s="12"/>
      <c r="D26" s="12"/>
      <c r="E26" s="12"/>
      <c r="G26" s="12"/>
      <c r="H26" s="12"/>
      <c r="I26" s="12"/>
      <c r="K26" s="13"/>
      <c r="L26" s="21"/>
      <c r="M26" s="19"/>
      <c r="N26" s="19"/>
      <c r="O26" s="27"/>
      <c r="P26" s="27"/>
      <c r="Q26" s="27"/>
      <c r="R26" s="19"/>
      <c r="S26" s="19"/>
    </row>
    <row r="27">
      <c r="A27" s="12"/>
      <c r="B27" s="12"/>
      <c r="C27" s="12"/>
      <c r="D27" s="12"/>
      <c r="E27" s="12"/>
      <c r="G27" s="12"/>
      <c r="H27" s="12"/>
      <c r="I27" s="12"/>
      <c r="K27" s="13"/>
      <c r="L27" s="21"/>
      <c r="M27" s="19"/>
      <c r="N27" s="19"/>
      <c r="O27" s="27"/>
      <c r="P27" s="27"/>
      <c r="Q27" s="27"/>
      <c r="R27" s="19"/>
      <c r="S27" s="19"/>
    </row>
    <row r="28">
      <c r="A28" s="12"/>
      <c r="B28" s="12"/>
      <c r="C28" s="12"/>
      <c r="D28" s="12"/>
      <c r="E28" s="12"/>
      <c r="G28" s="12"/>
      <c r="H28" s="12"/>
      <c r="I28" s="12"/>
      <c r="K28" s="13"/>
      <c r="L28" s="21"/>
      <c r="M28" s="19"/>
      <c r="N28" s="19"/>
      <c r="O28" s="19"/>
      <c r="P28" s="27"/>
      <c r="Q28" s="27"/>
      <c r="R28" s="19"/>
      <c r="S28" s="19"/>
    </row>
    <row r="29">
      <c r="K29" s="13"/>
      <c r="L29" s="21"/>
      <c r="M29" s="19"/>
      <c r="N29" s="19"/>
      <c r="O29" s="27"/>
      <c r="P29" s="27"/>
      <c r="Q29" s="27"/>
      <c r="R29" s="19"/>
      <c r="S29" s="19"/>
    </row>
    <row r="30">
      <c r="K30" s="13"/>
      <c r="L30" s="21"/>
      <c r="M30" s="19"/>
      <c r="N30" s="19"/>
      <c r="O30" s="27"/>
      <c r="P30" s="27"/>
      <c r="Q30" s="27"/>
      <c r="R30" s="19"/>
      <c r="S30" s="19"/>
    </row>
    <row r="31">
      <c r="K31" s="13"/>
      <c r="L31" s="21"/>
      <c r="M31" s="19"/>
      <c r="N31" s="19"/>
      <c r="O31" s="27"/>
      <c r="P31" s="27"/>
      <c r="Q31" s="27"/>
      <c r="R31" s="19"/>
      <c r="S31" s="19"/>
    </row>
    <row r="32">
      <c r="K32" s="13"/>
      <c r="L32" s="21"/>
      <c r="M32" s="19"/>
      <c r="N32" s="19"/>
      <c r="O32" s="27"/>
      <c r="P32" s="27"/>
      <c r="Q32" s="27"/>
      <c r="R32" s="19"/>
      <c r="S32" s="19"/>
    </row>
    <row r="33">
      <c r="K33" s="13"/>
      <c r="L33" s="21"/>
      <c r="M33" s="19"/>
      <c r="N33" s="19"/>
      <c r="O33" s="27"/>
      <c r="P33" s="27"/>
      <c r="Q33" s="27"/>
      <c r="R33" s="19"/>
      <c r="S33" s="19"/>
    </row>
    <row r="34">
      <c r="K34" s="13"/>
      <c r="L34" s="21"/>
      <c r="M34" s="19"/>
      <c r="N34" s="19"/>
      <c r="O34" s="27"/>
      <c r="P34" s="27"/>
      <c r="Q34" s="27"/>
      <c r="R34" s="19"/>
      <c r="S34" s="19"/>
    </row>
    <row r="35">
      <c r="K35" s="13"/>
      <c r="L35" s="21"/>
      <c r="M35" s="19"/>
      <c r="N35" s="19"/>
      <c r="O35" s="27"/>
      <c r="P35" s="27"/>
      <c r="Q35" s="27"/>
      <c r="R35" s="19"/>
      <c r="S35" s="19"/>
    </row>
    <row r="36">
      <c r="K36" s="13"/>
      <c r="L36" s="21"/>
      <c r="M36" s="19"/>
      <c r="N36" s="19"/>
      <c r="O36" s="27"/>
      <c r="P36" s="27"/>
      <c r="Q36" s="27"/>
      <c r="R36" s="19"/>
      <c r="S36" s="19"/>
    </row>
    <row r="37">
      <c r="K37" s="13"/>
      <c r="L37" s="21"/>
      <c r="M37" s="19"/>
      <c r="N37" s="19"/>
      <c r="O37" s="27"/>
      <c r="P37" s="27"/>
      <c r="Q37" s="27"/>
      <c r="R37" s="19"/>
      <c r="S37" s="19"/>
    </row>
    <row r="38">
      <c r="K38" s="13"/>
      <c r="L38" s="21"/>
      <c r="M38" s="19"/>
      <c r="N38" s="19"/>
      <c r="O38" s="27"/>
      <c r="P38" s="27"/>
      <c r="Q38" s="27"/>
      <c r="R38" s="19"/>
      <c r="S38" s="19"/>
    </row>
    <row r="39">
      <c r="K39" s="13"/>
      <c r="L39" s="21"/>
      <c r="M39" s="19"/>
      <c r="N39" s="19"/>
      <c r="O39" s="27"/>
      <c r="P39" s="27"/>
      <c r="Q39" s="27"/>
      <c r="R39" s="27"/>
      <c r="S39" s="27"/>
    </row>
    <row r="40">
      <c r="K40" s="13"/>
      <c r="L40" s="21"/>
      <c r="M40" s="19"/>
      <c r="N40" s="19"/>
      <c r="O40" s="27"/>
      <c r="P40" s="27"/>
      <c r="Q40" s="27"/>
      <c r="R40" s="27"/>
      <c r="S40" s="27"/>
    </row>
    <row r="41">
      <c r="K41" s="13"/>
      <c r="L41" s="21"/>
      <c r="M41" s="19"/>
      <c r="N41" s="19"/>
      <c r="O41" s="27"/>
      <c r="P41" s="27"/>
      <c r="Q41" s="27"/>
      <c r="R41" s="27"/>
      <c r="S41" s="27"/>
    </row>
    <row r="42">
      <c r="K42" s="13"/>
      <c r="L42" s="21"/>
      <c r="M42" s="19"/>
      <c r="N42" s="19"/>
      <c r="O42" s="27"/>
      <c r="P42" s="27"/>
      <c r="Q42" s="27"/>
      <c r="R42" s="27"/>
      <c r="S42" s="27"/>
    </row>
    <row r="43">
      <c r="K43" s="13"/>
      <c r="L43" s="21"/>
      <c r="M43" s="19"/>
      <c r="N43" s="19"/>
      <c r="O43" s="27"/>
      <c r="P43" s="27"/>
      <c r="Q43" s="27"/>
      <c r="R43" s="27"/>
      <c r="S43" s="27"/>
    </row>
    <row r="44">
      <c r="K44" s="13"/>
      <c r="L44" s="21"/>
      <c r="M44" s="19"/>
      <c r="N44" s="19"/>
      <c r="O44" s="27"/>
      <c r="P44" s="27"/>
      <c r="Q44" s="27"/>
      <c r="R44" s="27"/>
      <c r="S44" s="27"/>
    </row>
    <row r="45">
      <c r="K45" s="13"/>
      <c r="L45" s="21"/>
      <c r="M45" s="19"/>
      <c r="N45" s="19"/>
      <c r="O45" s="27"/>
      <c r="P45" s="27"/>
      <c r="Q45" s="27"/>
      <c r="R45" s="27"/>
      <c r="S45" s="27"/>
    </row>
    <row r="46">
      <c r="K46" s="13"/>
      <c r="L46" s="21"/>
      <c r="M46" s="19"/>
      <c r="N46" s="19"/>
      <c r="O46" s="27"/>
      <c r="P46" s="27"/>
      <c r="Q46" s="27"/>
      <c r="R46" s="27"/>
      <c r="S46" s="27"/>
    </row>
    <row r="47">
      <c r="K47" s="13"/>
      <c r="L47" s="21"/>
      <c r="M47" s="19"/>
      <c r="N47" s="19"/>
      <c r="O47" s="27"/>
      <c r="P47" s="27"/>
      <c r="Q47" s="27"/>
      <c r="R47" s="27"/>
      <c r="S47" s="27"/>
    </row>
    <row r="48">
      <c r="K48" s="13"/>
      <c r="L48" s="21"/>
      <c r="M48" s="19"/>
      <c r="N48" s="19"/>
      <c r="O48" s="27"/>
      <c r="P48" s="27"/>
      <c r="Q48" s="27"/>
      <c r="R48" s="27"/>
      <c r="S48" s="27"/>
    </row>
    <row r="49">
      <c r="K49" s="13"/>
      <c r="L49" s="21"/>
      <c r="M49" s="19"/>
      <c r="N49" s="19"/>
      <c r="O49" s="27"/>
      <c r="P49" s="27"/>
      <c r="Q49" s="27"/>
      <c r="R49" s="27"/>
      <c r="S49" s="27"/>
    </row>
    <row r="50">
      <c r="K50" s="13"/>
      <c r="L50" s="21"/>
      <c r="M50" s="19"/>
      <c r="N50" s="19"/>
      <c r="O50" s="27"/>
      <c r="P50" s="27"/>
      <c r="Q50" s="27"/>
      <c r="R50" s="27"/>
      <c r="S50" s="27"/>
    </row>
    <row r="51">
      <c r="K51" s="13"/>
      <c r="L51" s="21"/>
      <c r="M51" s="19"/>
      <c r="N51" s="19"/>
      <c r="O51" s="27"/>
      <c r="P51" s="27"/>
      <c r="Q51" s="27"/>
      <c r="R51" s="27"/>
      <c r="S51" s="27"/>
    </row>
    <row r="52">
      <c r="K52" s="13"/>
      <c r="L52" s="21"/>
      <c r="M52" s="19"/>
      <c r="N52" s="19"/>
      <c r="O52" s="27"/>
      <c r="P52" s="27"/>
      <c r="Q52" s="27"/>
      <c r="R52" s="27"/>
      <c r="S52" s="27"/>
    </row>
    <row r="53">
      <c r="K53" s="13"/>
      <c r="L53" s="21"/>
      <c r="M53" s="19"/>
      <c r="N53" s="19"/>
      <c r="O53" s="27"/>
      <c r="P53" s="27"/>
      <c r="Q53" s="27"/>
      <c r="R53" s="27"/>
      <c r="S53" s="27"/>
    </row>
    <row r="54">
      <c r="K54" s="13"/>
      <c r="L54" s="21"/>
      <c r="M54" s="19"/>
      <c r="N54" s="19"/>
      <c r="O54" s="27"/>
      <c r="P54" s="27"/>
      <c r="Q54" s="27"/>
      <c r="R54" s="27"/>
      <c r="S54" s="27"/>
    </row>
    <row r="55">
      <c r="K55" s="13"/>
      <c r="L55" s="21"/>
      <c r="M55" s="19"/>
      <c r="N55" s="19"/>
      <c r="O55" s="27"/>
      <c r="P55" s="27"/>
      <c r="Q55" s="27"/>
      <c r="R55" s="27"/>
      <c r="S55" s="27"/>
    </row>
    <row r="56">
      <c r="K56" s="13"/>
      <c r="L56" s="21"/>
      <c r="M56" s="19"/>
      <c r="N56" s="19"/>
      <c r="O56" s="27"/>
      <c r="P56" s="27"/>
      <c r="Q56" s="27"/>
      <c r="R56" s="27"/>
      <c r="S56" s="27"/>
    </row>
    <row r="57">
      <c r="K57" s="13"/>
      <c r="L57" s="21"/>
      <c r="M57" s="19"/>
      <c r="N57" s="19"/>
      <c r="O57" s="27"/>
      <c r="P57" s="27"/>
      <c r="Q57" s="27"/>
      <c r="R57" s="27"/>
      <c r="S57" s="27"/>
    </row>
    <row r="58">
      <c r="K58" s="13"/>
      <c r="L58" s="21"/>
      <c r="M58" s="19"/>
      <c r="N58" s="19"/>
      <c r="O58" s="27"/>
      <c r="P58" s="27"/>
      <c r="Q58" s="27"/>
      <c r="R58" s="27"/>
      <c r="S58" s="27"/>
    </row>
    <row r="59">
      <c r="K59" s="13"/>
      <c r="L59" s="21"/>
      <c r="M59" s="19"/>
      <c r="N59" s="19"/>
      <c r="O59" s="27"/>
      <c r="P59" s="27"/>
      <c r="Q59" s="27"/>
      <c r="R59" s="27"/>
      <c r="S59" s="27"/>
    </row>
    <row r="60">
      <c r="K60" s="13"/>
      <c r="L60" s="21"/>
      <c r="M60" s="19"/>
      <c r="N60" s="19"/>
      <c r="O60" s="27"/>
      <c r="P60" s="27"/>
      <c r="Q60" s="27"/>
      <c r="R60" s="27"/>
      <c r="S60" s="27"/>
    </row>
    <row r="61">
      <c r="K61" s="13"/>
      <c r="L61" s="21"/>
      <c r="M61" s="19"/>
      <c r="N61" s="19"/>
      <c r="O61" s="27"/>
      <c r="P61" s="27"/>
      <c r="Q61" s="27"/>
      <c r="R61" s="27"/>
      <c r="S61" s="27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63"/>
  </cols>
  <sheetData>
    <row r="1">
      <c r="A1" s="2" t="s">
        <v>1</v>
      </c>
      <c r="B1" s="1"/>
      <c r="D1" s="3" t="s">
        <v>2</v>
      </c>
      <c r="E1" s="3" t="s">
        <v>3</v>
      </c>
      <c r="F1" s="3" t="s">
        <v>5</v>
      </c>
      <c r="G1" s="3" t="s">
        <v>6</v>
      </c>
      <c r="H1" s="3" t="s">
        <v>7</v>
      </c>
      <c r="I1" s="6" t="s">
        <v>9</v>
      </c>
      <c r="K1" s="10" t="s">
        <v>1066</v>
      </c>
      <c r="L1" s="10"/>
      <c r="M1" s="10"/>
      <c r="N1" s="10"/>
      <c r="O1" s="10"/>
      <c r="P1" s="10"/>
      <c r="Q1" s="10"/>
      <c r="R1" s="10"/>
      <c r="S1" s="10"/>
    </row>
    <row r="2">
      <c r="A2" s="1" t="s">
        <v>21</v>
      </c>
      <c r="B2" s="2" t="s">
        <v>233</v>
      </c>
      <c r="D2" s="12"/>
      <c r="E2" s="12"/>
      <c r="F2" s="12"/>
      <c r="G2" s="12"/>
      <c r="H2" s="12"/>
      <c r="I2" s="12"/>
      <c r="K2" s="6" t="s">
        <v>8</v>
      </c>
      <c r="L2" s="6" t="s">
        <v>27</v>
      </c>
      <c r="M2" s="6" t="s">
        <v>28</v>
      </c>
      <c r="N2" s="6" t="s">
        <v>30</v>
      </c>
      <c r="O2" s="6" t="s">
        <v>25</v>
      </c>
      <c r="P2" s="6" t="s">
        <v>24</v>
      </c>
      <c r="Q2" s="6" t="s">
        <v>36</v>
      </c>
      <c r="R2" s="6" t="s">
        <v>35</v>
      </c>
      <c r="S2" s="6" t="s">
        <v>33</v>
      </c>
    </row>
    <row r="3">
      <c r="A3" s="1" t="s">
        <v>40</v>
      </c>
      <c r="B3" s="2" t="s">
        <v>247</v>
      </c>
      <c r="D3" s="12"/>
      <c r="E3" s="12"/>
      <c r="F3" s="12"/>
      <c r="G3" s="12"/>
      <c r="H3" s="12"/>
      <c r="I3" s="12"/>
      <c r="K3" s="13"/>
      <c r="L3" s="21"/>
      <c r="M3" s="19"/>
      <c r="N3" s="19"/>
      <c r="O3" s="19"/>
      <c r="P3" s="19"/>
      <c r="Q3" s="19"/>
      <c r="R3" s="19"/>
      <c r="S3" s="19"/>
    </row>
    <row r="4">
      <c r="A4" s="1" t="s">
        <v>50</v>
      </c>
      <c r="B4" s="2" t="s">
        <v>215</v>
      </c>
      <c r="D4" s="12"/>
      <c r="E4" s="12"/>
      <c r="F4" s="12"/>
      <c r="G4" s="12"/>
      <c r="H4" s="12"/>
      <c r="I4" s="12"/>
      <c r="K4" s="13"/>
      <c r="L4" s="21"/>
      <c r="M4" s="19"/>
      <c r="N4" s="19">
        <f>N3+M4</f>
        <v>0</v>
      </c>
      <c r="O4" s="27"/>
      <c r="P4" s="27"/>
      <c r="Q4" s="27"/>
      <c r="R4" s="19"/>
      <c r="S4" s="19"/>
    </row>
    <row r="5">
      <c r="A5" s="1" t="s">
        <v>66</v>
      </c>
      <c r="B5" s="2"/>
      <c r="D5" s="12"/>
      <c r="E5" s="12"/>
      <c r="F5" s="12"/>
      <c r="G5" s="12"/>
      <c r="H5" s="12"/>
      <c r="I5" s="12"/>
      <c r="K5" s="13"/>
      <c r="L5" s="21"/>
      <c r="M5" s="19"/>
      <c r="N5" s="19"/>
      <c r="O5" s="27"/>
      <c r="P5" s="27"/>
      <c r="Q5" s="27"/>
      <c r="R5" s="19"/>
      <c r="S5" s="19"/>
    </row>
    <row r="6">
      <c r="A6" s="1" t="s">
        <v>70</v>
      </c>
      <c r="B6" s="2"/>
      <c r="D6" s="12"/>
      <c r="E6" s="12"/>
      <c r="F6" s="12"/>
      <c r="G6" s="12"/>
      <c r="H6" s="12"/>
      <c r="I6" s="12"/>
      <c r="K6" s="13"/>
      <c r="L6" s="21"/>
      <c r="M6" s="19"/>
      <c r="N6" s="19"/>
      <c r="O6" s="27"/>
      <c r="P6" s="27"/>
      <c r="Q6" s="27"/>
      <c r="R6" s="19"/>
      <c r="S6" s="19"/>
    </row>
    <row r="7">
      <c r="K7" s="13"/>
      <c r="L7" s="21"/>
      <c r="M7" s="19"/>
      <c r="N7" s="19"/>
      <c r="O7" s="27"/>
      <c r="P7" s="27"/>
      <c r="Q7" s="27"/>
      <c r="R7" s="19"/>
      <c r="S7" s="19"/>
    </row>
    <row r="8">
      <c r="A8" s="6" t="s">
        <v>8</v>
      </c>
      <c r="B8" s="6" t="s">
        <v>84</v>
      </c>
      <c r="C8" s="6" t="s">
        <v>25</v>
      </c>
      <c r="D8" s="6" t="s">
        <v>86</v>
      </c>
      <c r="E8" s="6" t="s">
        <v>87</v>
      </c>
      <c r="G8" s="6" t="s">
        <v>8</v>
      </c>
      <c r="H8" s="6" t="s">
        <v>13</v>
      </c>
      <c r="I8" s="6" t="s">
        <v>88</v>
      </c>
      <c r="K8" s="13"/>
      <c r="L8" s="21"/>
      <c r="M8" s="19"/>
      <c r="N8" s="19"/>
      <c r="O8" s="27"/>
      <c r="P8" s="27"/>
      <c r="Q8" s="27"/>
      <c r="R8" s="19"/>
      <c r="S8" s="19"/>
    </row>
    <row r="9">
      <c r="A9" s="12"/>
      <c r="B9" s="12"/>
      <c r="C9" s="12"/>
      <c r="D9" s="12"/>
      <c r="E9" s="12"/>
      <c r="G9" s="12"/>
      <c r="H9" s="12"/>
      <c r="I9" s="12"/>
      <c r="K9" s="13"/>
      <c r="L9" s="21"/>
      <c r="M9" s="19"/>
      <c r="N9" s="19"/>
      <c r="O9" s="27"/>
      <c r="P9" s="27"/>
      <c r="Q9" s="27"/>
      <c r="R9" s="19"/>
      <c r="S9" s="19"/>
    </row>
    <row r="10">
      <c r="A10" s="12"/>
      <c r="B10" s="12"/>
      <c r="C10" s="12"/>
      <c r="D10" s="12"/>
      <c r="E10" s="12"/>
      <c r="G10" s="12"/>
      <c r="H10" s="12"/>
      <c r="I10" s="12"/>
      <c r="K10" s="13"/>
      <c r="L10" s="21"/>
      <c r="M10" s="19"/>
      <c r="N10" s="19"/>
      <c r="O10" s="27"/>
      <c r="P10" s="27"/>
      <c r="Q10" s="27"/>
      <c r="R10" s="19"/>
      <c r="S10" s="19"/>
    </row>
    <row r="11">
      <c r="A11" s="12"/>
      <c r="B11" s="12"/>
      <c r="C11" s="12"/>
      <c r="D11" s="12"/>
      <c r="E11" s="12"/>
      <c r="G11" s="12"/>
      <c r="H11" s="12"/>
      <c r="I11" s="12"/>
      <c r="K11" s="13"/>
      <c r="L11" s="21"/>
      <c r="M11" s="19"/>
      <c r="N11" s="19"/>
      <c r="O11" s="27"/>
      <c r="P11" s="27"/>
      <c r="Q11" s="27"/>
      <c r="R11" s="19"/>
      <c r="S11" s="19"/>
    </row>
    <row r="12">
      <c r="A12" s="12"/>
      <c r="B12" s="12"/>
      <c r="C12" s="12"/>
      <c r="D12" s="12"/>
      <c r="E12" s="12"/>
      <c r="G12" s="12"/>
      <c r="H12" s="12"/>
      <c r="I12" s="12"/>
      <c r="K12" s="13"/>
      <c r="L12" s="21"/>
      <c r="M12" s="19"/>
      <c r="N12" s="19"/>
      <c r="O12" s="27"/>
      <c r="P12" s="27"/>
      <c r="Q12" s="27"/>
      <c r="R12" s="19"/>
      <c r="S12" s="19"/>
    </row>
    <row r="13">
      <c r="A13" s="12"/>
      <c r="B13" s="12"/>
      <c r="C13" s="12"/>
      <c r="D13" s="12"/>
      <c r="E13" s="12"/>
      <c r="G13" s="12"/>
      <c r="H13" s="12"/>
      <c r="I13" s="12"/>
      <c r="K13" s="13"/>
      <c r="L13" s="21"/>
      <c r="M13" s="19"/>
      <c r="N13" s="19"/>
      <c r="O13" s="27"/>
      <c r="P13" s="27"/>
      <c r="Q13" s="27"/>
      <c r="R13" s="19"/>
      <c r="S13" s="19"/>
    </row>
    <row r="14">
      <c r="A14" s="12"/>
      <c r="B14" s="12"/>
      <c r="C14" s="12"/>
      <c r="D14" s="12"/>
      <c r="E14" s="12"/>
      <c r="G14" s="12"/>
      <c r="H14" s="12"/>
      <c r="I14" s="12"/>
      <c r="K14" s="13"/>
      <c r="L14" s="21"/>
      <c r="M14" s="19"/>
      <c r="N14" s="19"/>
      <c r="O14" s="27"/>
      <c r="P14" s="27"/>
      <c r="Q14" s="27"/>
      <c r="R14" s="19"/>
      <c r="S14" s="19"/>
    </row>
    <row r="15">
      <c r="A15" s="12"/>
      <c r="B15" s="12"/>
      <c r="C15" s="12"/>
      <c r="D15" s="12"/>
      <c r="E15" s="12"/>
      <c r="G15" s="12"/>
      <c r="H15" s="12"/>
      <c r="I15" s="12"/>
      <c r="K15" s="13"/>
      <c r="L15" s="21"/>
      <c r="M15" s="19"/>
      <c r="N15" s="19"/>
      <c r="O15" s="27"/>
      <c r="P15" s="27"/>
      <c r="Q15" s="27"/>
      <c r="R15" s="19"/>
      <c r="S15" s="19"/>
    </row>
    <row r="16">
      <c r="A16" s="12"/>
      <c r="B16" s="12"/>
      <c r="C16" s="12"/>
      <c r="D16" s="12"/>
      <c r="E16" s="12"/>
      <c r="G16" s="12"/>
      <c r="H16" s="12"/>
      <c r="I16" s="12"/>
      <c r="K16" s="13"/>
      <c r="L16" s="21"/>
      <c r="M16" s="19"/>
      <c r="N16" s="19"/>
      <c r="O16" s="27"/>
      <c r="P16" s="27"/>
      <c r="Q16" s="27"/>
      <c r="R16" s="19"/>
      <c r="S16" s="19"/>
    </row>
    <row r="17">
      <c r="A17" s="12"/>
      <c r="B17" s="12"/>
      <c r="C17" s="12"/>
      <c r="D17" s="12"/>
      <c r="E17" s="12"/>
      <c r="G17" s="12"/>
      <c r="H17" s="12"/>
      <c r="I17" s="12"/>
      <c r="K17" s="13"/>
      <c r="L17" s="21"/>
      <c r="M17" s="19"/>
      <c r="N17" s="19"/>
      <c r="O17" s="27"/>
      <c r="P17" s="27"/>
      <c r="Q17" s="27"/>
      <c r="R17" s="19"/>
      <c r="S17" s="19"/>
    </row>
    <row r="18">
      <c r="A18" s="12"/>
      <c r="B18" s="12"/>
      <c r="C18" s="12"/>
      <c r="D18" s="12"/>
      <c r="E18" s="12"/>
      <c r="G18" s="12"/>
      <c r="H18" s="12"/>
      <c r="I18" s="12"/>
      <c r="K18" s="13"/>
      <c r="L18" s="21"/>
      <c r="M18" s="19"/>
      <c r="N18" s="19"/>
      <c r="O18" s="27"/>
      <c r="P18" s="27"/>
      <c r="Q18" s="27"/>
      <c r="R18" s="19"/>
      <c r="S18" s="19"/>
    </row>
    <row r="19">
      <c r="A19" s="12"/>
      <c r="B19" s="12"/>
      <c r="C19" s="12"/>
      <c r="D19" s="12"/>
      <c r="E19" s="12"/>
      <c r="G19" s="12"/>
      <c r="H19" s="12"/>
      <c r="I19" s="12"/>
      <c r="K19" s="13"/>
      <c r="L19" s="21"/>
      <c r="M19" s="19"/>
      <c r="N19" s="19"/>
      <c r="O19" s="27"/>
      <c r="P19" s="27"/>
      <c r="Q19" s="27"/>
      <c r="R19" s="19"/>
      <c r="S19" s="19"/>
    </row>
    <row r="20">
      <c r="A20" s="12"/>
      <c r="B20" s="12"/>
      <c r="C20" s="12"/>
      <c r="D20" s="12"/>
      <c r="E20" s="12"/>
      <c r="G20" s="12"/>
      <c r="H20" s="12"/>
      <c r="I20" s="12"/>
      <c r="K20" s="13"/>
      <c r="L20" s="21"/>
      <c r="M20" s="19"/>
      <c r="N20" s="19"/>
      <c r="O20" s="27"/>
      <c r="P20" s="27"/>
      <c r="Q20" s="27"/>
      <c r="R20" s="19"/>
      <c r="S20" s="19"/>
    </row>
    <row r="21">
      <c r="A21" s="12"/>
      <c r="B21" s="12"/>
      <c r="C21" s="12"/>
      <c r="D21" s="12"/>
      <c r="E21" s="12"/>
      <c r="G21" s="12"/>
      <c r="H21" s="12"/>
      <c r="I21" s="12"/>
      <c r="K21" s="13"/>
      <c r="L21" s="21"/>
      <c r="M21" s="19"/>
      <c r="N21" s="19"/>
      <c r="O21" s="27"/>
      <c r="P21" s="27"/>
      <c r="Q21" s="27"/>
      <c r="R21" s="19"/>
      <c r="S21" s="19"/>
    </row>
    <row r="22">
      <c r="A22" s="12"/>
      <c r="B22" s="12"/>
      <c r="C22" s="12"/>
      <c r="D22" s="12"/>
      <c r="E22" s="12"/>
      <c r="G22" s="12"/>
      <c r="H22" s="12"/>
      <c r="I22" s="12"/>
      <c r="K22" s="13"/>
      <c r="L22" s="21"/>
      <c r="M22" s="19"/>
      <c r="N22" s="19"/>
      <c r="O22" s="27"/>
      <c r="P22" s="27"/>
      <c r="Q22" s="27"/>
      <c r="R22" s="19"/>
      <c r="S22" s="19"/>
    </row>
    <row r="23">
      <c r="A23" s="12"/>
      <c r="B23" s="12"/>
      <c r="C23" s="12"/>
      <c r="D23" s="12"/>
      <c r="E23" s="12"/>
      <c r="G23" s="12"/>
      <c r="H23" s="12"/>
      <c r="I23" s="12"/>
      <c r="K23" s="13"/>
      <c r="L23" s="21"/>
      <c r="M23" s="19"/>
      <c r="N23" s="19"/>
      <c r="O23" s="27"/>
      <c r="P23" s="27"/>
      <c r="Q23" s="27"/>
      <c r="R23" s="19"/>
      <c r="S23" s="19"/>
    </row>
    <row r="24">
      <c r="A24" s="12"/>
      <c r="B24" s="12"/>
      <c r="C24" s="12"/>
      <c r="D24" s="12"/>
      <c r="E24" s="12"/>
      <c r="G24" s="12"/>
      <c r="H24" s="12"/>
      <c r="I24" s="12"/>
      <c r="K24" s="13"/>
      <c r="L24" s="21"/>
      <c r="M24" s="19"/>
      <c r="N24" s="19"/>
      <c r="O24" s="27"/>
      <c r="P24" s="27"/>
      <c r="Q24" s="27"/>
      <c r="R24" s="19"/>
      <c r="S24" s="19"/>
    </row>
    <row r="25">
      <c r="A25" s="12"/>
      <c r="B25" s="12"/>
      <c r="C25" s="12"/>
      <c r="D25" s="12"/>
      <c r="E25" s="12"/>
      <c r="G25" s="12"/>
      <c r="H25" s="12"/>
      <c r="I25" s="12"/>
      <c r="K25" s="13"/>
      <c r="L25" s="21"/>
      <c r="M25" s="19"/>
      <c r="N25" s="19"/>
      <c r="O25" s="27"/>
      <c r="P25" s="27"/>
      <c r="Q25" s="27"/>
      <c r="R25" s="19"/>
      <c r="S25" s="19"/>
    </row>
    <row r="26">
      <c r="A26" s="12"/>
      <c r="B26" s="12"/>
      <c r="C26" s="12"/>
      <c r="D26" s="12"/>
      <c r="E26" s="12"/>
      <c r="G26" s="12"/>
      <c r="H26" s="12"/>
      <c r="I26" s="12"/>
      <c r="K26" s="13"/>
      <c r="L26" s="21"/>
      <c r="M26" s="19"/>
      <c r="N26" s="19"/>
      <c r="O26" s="27"/>
      <c r="P26" s="27"/>
      <c r="Q26" s="27"/>
      <c r="R26" s="19"/>
      <c r="S26" s="19"/>
    </row>
    <row r="27">
      <c r="A27" s="12"/>
      <c r="B27" s="12"/>
      <c r="C27" s="12"/>
      <c r="D27" s="12"/>
      <c r="E27" s="12"/>
      <c r="G27" s="12"/>
      <c r="H27" s="12"/>
      <c r="I27" s="12"/>
      <c r="K27" s="13"/>
      <c r="L27" s="21"/>
      <c r="M27" s="19"/>
      <c r="N27" s="19"/>
      <c r="O27" s="27"/>
      <c r="P27" s="27"/>
      <c r="Q27" s="27"/>
      <c r="R27" s="19"/>
      <c r="S27" s="19"/>
    </row>
    <row r="28">
      <c r="A28" s="12"/>
      <c r="B28" s="12"/>
      <c r="C28" s="12"/>
      <c r="D28" s="12"/>
      <c r="E28" s="12"/>
      <c r="G28" s="12"/>
      <c r="H28" s="12"/>
      <c r="I28" s="12"/>
      <c r="K28" s="13"/>
      <c r="L28" s="21"/>
      <c r="M28" s="19"/>
      <c r="N28" s="19"/>
      <c r="O28" s="19"/>
      <c r="P28" s="27"/>
      <c r="Q28" s="27"/>
      <c r="R28" s="19"/>
      <c r="S28" s="19"/>
    </row>
    <row r="29">
      <c r="K29" s="13"/>
      <c r="L29" s="21"/>
      <c r="M29" s="19"/>
      <c r="N29" s="19"/>
      <c r="O29" s="27"/>
      <c r="P29" s="27"/>
      <c r="Q29" s="27"/>
      <c r="R29" s="19"/>
      <c r="S29" s="19"/>
    </row>
    <row r="30">
      <c r="K30" s="13"/>
      <c r="L30" s="21"/>
      <c r="M30" s="19"/>
      <c r="N30" s="19"/>
      <c r="O30" s="27"/>
      <c r="P30" s="27"/>
      <c r="Q30" s="27"/>
      <c r="R30" s="19"/>
      <c r="S30" s="19"/>
    </row>
    <row r="31">
      <c r="K31" s="13"/>
      <c r="L31" s="21"/>
      <c r="M31" s="19"/>
      <c r="N31" s="19"/>
      <c r="O31" s="27"/>
      <c r="P31" s="27"/>
      <c r="Q31" s="27"/>
      <c r="R31" s="19"/>
      <c r="S31" s="19"/>
    </row>
    <row r="32">
      <c r="K32" s="13"/>
      <c r="L32" s="21"/>
      <c r="M32" s="19"/>
      <c r="N32" s="19"/>
      <c r="O32" s="27"/>
      <c r="P32" s="27"/>
      <c r="Q32" s="27"/>
      <c r="R32" s="19"/>
      <c r="S32" s="19"/>
    </row>
    <row r="33">
      <c r="K33" s="13"/>
      <c r="L33" s="21"/>
      <c r="M33" s="19"/>
      <c r="N33" s="19"/>
      <c r="O33" s="27"/>
      <c r="P33" s="27"/>
      <c r="Q33" s="27"/>
      <c r="R33" s="19"/>
      <c r="S33" s="19"/>
    </row>
    <row r="34">
      <c r="K34" s="13"/>
      <c r="L34" s="21"/>
      <c r="M34" s="19"/>
      <c r="N34" s="19"/>
      <c r="O34" s="27"/>
      <c r="P34" s="27"/>
      <c r="Q34" s="27"/>
      <c r="R34" s="19"/>
      <c r="S34" s="19"/>
    </row>
    <row r="35">
      <c r="K35" s="13"/>
      <c r="L35" s="21"/>
      <c r="M35" s="19"/>
      <c r="N35" s="19"/>
      <c r="O35" s="27"/>
      <c r="P35" s="27"/>
      <c r="Q35" s="27"/>
      <c r="R35" s="19"/>
      <c r="S35" s="19"/>
    </row>
    <row r="36">
      <c r="K36" s="13"/>
      <c r="L36" s="21"/>
      <c r="M36" s="19"/>
      <c r="N36" s="19"/>
      <c r="O36" s="27"/>
      <c r="P36" s="27"/>
      <c r="Q36" s="27"/>
      <c r="R36" s="19"/>
      <c r="S36" s="19"/>
    </row>
    <row r="37">
      <c r="K37" s="13"/>
      <c r="L37" s="21"/>
      <c r="M37" s="19"/>
      <c r="N37" s="19"/>
      <c r="O37" s="27"/>
      <c r="P37" s="27"/>
      <c r="Q37" s="27"/>
      <c r="R37" s="19"/>
      <c r="S37" s="19"/>
    </row>
    <row r="38">
      <c r="K38" s="13"/>
      <c r="L38" s="21"/>
      <c r="M38" s="19"/>
      <c r="N38" s="19"/>
      <c r="O38" s="27"/>
      <c r="P38" s="27"/>
      <c r="Q38" s="27"/>
      <c r="R38" s="19"/>
      <c r="S38" s="19"/>
    </row>
    <row r="39">
      <c r="K39" s="13"/>
      <c r="L39" s="21"/>
      <c r="M39" s="19"/>
      <c r="N39" s="19"/>
      <c r="O39" s="27"/>
      <c r="P39" s="27"/>
      <c r="Q39" s="27"/>
      <c r="R39" s="27"/>
      <c r="S39" s="27"/>
    </row>
    <row r="40">
      <c r="K40" s="13"/>
      <c r="L40" s="21"/>
      <c r="M40" s="19"/>
      <c r="N40" s="19"/>
      <c r="O40" s="27"/>
      <c r="P40" s="27"/>
      <c r="Q40" s="27"/>
      <c r="R40" s="27"/>
      <c r="S40" s="27"/>
    </row>
    <row r="41">
      <c r="K41" s="13"/>
      <c r="L41" s="21"/>
      <c r="M41" s="19"/>
      <c r="N41" s="19"/>
      <c r="O41" s="27"/>
      <c r="P41" s="27"/>
      <c r="Q41" s="27"/>
      <c r="R41" s="27"/>
      <c r="S41" s="27"/>
    </row>
    <row r="42">
      <c r="K42" s="13"/>
      <c r="L42" s="21"/>
      <c r="M42" s="19"/>
      <c r="N42" s="19"/>
      <c r="O42" s="27"/>
      <c r="P42" s="27"/>
      <c r="Q42" s="27"/>
      <c r="R42" s="27"/>
      <c r="S42" s="27"/>
    </row>
    <row r="43">
      <c r="K43" s="13"/>
      <c r="L43" s="21"/>
      <c r="M43" s="19"/>
      <c r="N43" s="19"/>
      <c r="O43" s="27"/>
      <c r="P43" s="27"/>
      <c r="Q43" s="27"/>
      <c r="R43" s="27"/>
      <c r="S43" s="27"/>
    </row>
    <row r="44">
      <c r="K44" s="13"/>
      <c r="L44" s="21"/>
      <c r="M44" s="19"/>
      <c r="N44" s="19"/>
      <c r="O44" s="27"/>
      <c r="P44" s="27"/>
      <c r="Q44" s="27"/>
      <c r="R44" s="27"/>
      <c r="S44" s="27"/>
    </row>
    <row r="45">
      <c r="K45" s="13"/>
      <c r="L45" s="21"/>
      <c r="M45" s="19"/>
      <c r="N45" s="19"/>
      <c r="O45" s="27"/>
      <c r="P45" s="27"/>
      <c r="Q45" s="27"/>
      <c r="R45" s="27"/>
      <c r="S45" s="27"/>
    </row>
    <row r="46">
      <c r="K46" s="13"/>
      <c r="L46" s="21"/>
      <c r="M46" s="19"/>
      <c r="N46" s="19"/>
      <c r="O46" s="27"/>
      <c r="P46" s="27"/>
      <c r="Q46" s="27"/>
      <c r="R46" s="27"/>
      <c r="S46" s="27"/>
    </row>
    <row r="47">
      <c r="K47" s="13"/>
      <c r="L47" s="21"/>
      <c r="M47" s="19"/>
      <c r="N47" s="19"/>
      <c r="O47" s="27"/>
      <c r="P47" s="27"/>
      <c r="Q47" s="27"/>
      <c r="R47" s="27"/>
      <c r="S47" s="27"/>
    </row>
    <row r="48">
      <c r="K48" s="13"/>
      <c r="L48" s="21"/>
      <c r="M48" s="19"/>
      <c r="N48" s="19"/>
      <c r="O48" s="27"/>
      <c r="P48" s="27"/>
      <c r="Q48" s="27"/>
      <c r="R48" s="27"/>
      <c r="S48" s="27"/>
    </row>
    <row r="49">
      <c r="K49" s="13"/>
      <c r="L49" s="21"/>
      <c r="M49" s="19"/>
      <c r="N49" s="19"/>
      <c r="O49" s="27"/>
      <c r="P49" s="27"/>
      <c r="Q49" s="27"/>
      <c r="R49" s="27"/>
      <c r="S49" s="27"/>
    </row>
    <row r="50">
      <c r="K50" s="13"/>
      <c r="L50" s="21"/>
      <c r="M50" s="19"/>
      <c r="N50" s="19"/>
      <c r="O50" s="27"/>
      <c r="P50" s="27"/>
      <c r="Q50" s="27"/>
      <c r="R50" s="27"/>
      <c r="S50" s="27"/>
    </row>
    <row r="51">
      <c r="K51" s="13"/>
      <c r="L51" s="21"/>
      <c r="M51" s="19"/>
      <c r="N51" s="19"/>
      <c r="O51" s="27"/>
      <c r="P51" s="27"/>
      <c r="Q51" s="27"/>
      <c r="R51" s="27"/>
      <c r="S51" s="27"/>
    </row>
    <row r="52">
      <c r="K52" s="13"/>
      <c r="L52" s="21"/>
      <c r="M52" s="19"/>
      <c r="N52" s="19"/>
      <c r="O52" s="27"/>
      <c r="P52" s="27"/>
      <c r="Q52" s="27"/>
      <c r="R52" s="27"/>
      <c r="S52" s="27"/>
    </row>
    <row r="53">
      <c r="K53" s="13"/>
      <c r="L53" s="21"/>
      <c r="M53" s="19"/>
      <c r="N53" s="19"/>
      <c r="O53" s="27"/>
      <c r="P53" s="27"/>
      <c r="Q53" s="27"/>
      <c r="R53" s="27"/>
      <c r="S53" s="27"/>
    </row>
    <row r="54">
      <c r="K54" s="13"/>
      <c r="L54" s="21"/>
      <c r="M54" s="19"/>
      <c r="N54" s="19"/>
      <c r="O54" s="27"/>
      <c r="P54" s="27"/>
      <c r="Q54" s="27"/>
      <c r="R54" s="27"/>
      <c r="S54" s="27"/>
    </row>
    <row r="55">
      <c r="K55" s="13"/>
      <c r="L55" s="21"/>
      <c r="M55" s="19"/>
      <c r="N55" s="19"/>
      <c r="O55" s="27"/>
      <c r="P55" s="27"/>
      <c r="Q55" s="27"/>
      <c r="R55" s="27"/>
      <c r="S55" s="27"/>
    </row>
    <row r="56">
      <c r="K56" s="13"/>
      <c r="L56" s="21"/>
      <c r="M56" s="19"/>
      <c r="N56" s="19"/>
      <c r="O56" s="27"/>
      <c r="P56" s="27"/>
      <c r="Q56" s="27"/>
      <c r="R56" s="27"/>
      <c r="S56" s="27"/>
    </row>
    <row r="57">
      <c r="K57" s="13"/>
      <c r="L57" s="21"/>
      <c r="M57" s="19"/>
      <c r="N57" s="19"/>
      <c r="O57" s="27"/>
      <c r="P57" s="27"/>
      <c r="Q57" s="27"/>
      <c r="R57" s="27"/>
      <c r="S57" s="27"/>
    </row>
    <row r="58">
      <c r="K58" s="13"/>
      <c r="L58" s="21"/>
      <c r="M58" s="19"/>
      <c r="N58" s="19"/>
      <c r="O58" s="27"/>
      <c r="P58" s="27"/>
      <c r="Q58" s="27"/>
      <c r="R58" s="27"/>
      <c r="S58" s="27"/>
    </row>
    <row r="59">
      <c r="K59" s="13"/>
      <c r="L59" s="21"/>
      <c r="M59" s="19"/>
      <c r="N59" s="19"/>
      <c r="O59" s="27"/>
      <c r="P59" s="27"/>
      <c r="Q59" s="27"/>
      <c r="R59" s="27"/>
      <c r="S59" s="27"/>
    </row>
    <row r="60">
      <c r="K60" s="13"/>
      <c r="L60" s="21"/>
      <c r="M60" s="19"/>
      <c r="N60" s="19"/>
      <c r="O60" s="27"/>
      <c r="P60" s="27"/>
      <c r="Q60" s="27"/>
      <c r="R60" s="27"/>
      <c r="S60" s="27"/>
    </row>
    <row r="61">
      <c r="K61" s="13"/>
      <c r="L61" s="21"/>
      <c r="M61" s="19"/>
      <c r="N61" s="19"/>
      <c r="O61" s="27"/>
      <c r="P61" s="27"/>
      <c r="Q61" s="27"/>
      <c r="R61" s="27"/>
      <c r="S61" s="27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3.25"/>
  </cols>
  <sheetData>
    <row r="1">
      <c r="A1" s="2" t="s">
        <v>1</v>
      </c>
      <c r="B1" s="1"/>
      <c r="D1" s="3" t="s">
        <v>2</v>
      </c>
      <c r="E1" s="3" t="s">
        <v>3</v>
      </c>
      <c r="F1" s="3" t="s">
        <v>5</v>
      </c>
      <c r="G1" s="3" t="s">
        <v>6</v>
      </c>
      <c r="H1" s="3" t="s">
        <v>7</v>
      </c>
      <c r="I1" s="6" t="s">
        <v>9</v>
      </c>
      <c r="K1" s="10" t="s">
        <v>1068</v>
      </c>
      <c r="L1" s="10"/>
      <c r="M1" s="10"/>
      <c r="N1" s="10"/>
      <c r="O1" s="10"/>
      <c r="P1" s="10"/>
      <c r="Q1" s="10"/>
      <c r="R1" s="10"/>
      <c r="S1" s="10"/>
    </row>
    <row r="2">
      <c r="A2" s="1" t="s">
        <v>21</v>
      </c>
      <c r="B2" s="2" t="s">
        <v>233</v>
      </c>
      <c r="D2" s="12"/>
      <c r="E2" s="12"/>
      <c r="F2" s="12"/>
      <c r="G2" s="12"/>
      <c r="H2" s="12"/>
      <c r="I2" s="12"/>
      <c r="K2" s="6" t="s">
        <v>8</v>
      </c>
      <c r="L2" s="6" t="s">
        <v>27</v>
      </c>
      <c r="M2" s="6" t="s">
        <v>28</v>
      </c>
      <c r="N2" s="6" t="s">
        <v>30</v>
      </c>
      <c r="O2" s="6" t="s">
        <v>25</v>
      </c>
      <c r="P2" s="6" t="s">
        <v>24</v>
      </c>
      <c r="Q2" s="6" t="s">
        <v>36</v>
      </c>
      <c r="R2" s="6" t="s">
        <v>35</v>
      </c>
      <c r="S2" s="6" t="s">
        <v>33</v>
      </c>
    </row>
    <row r="3">
      <c r="A3" s="1" t="s">
        <v>40</v>
      </c>
      <c r="B3" s="2" t="s">
        <v>44</v>
      </c>
      <c r="D3" s="12"/>
      <c r="E3" s="12"/>
      <c r="F3" s="12"/>
      <c r="G3" s="12"/>
      <c r="H3" s="12"/>
      <c r="I3" s="12"/>
      <c r="K3" s="13"/>
      <c r="L3" s="21"/>
      <c r="M3" s="19"/>
      <c r="N3" s="19"/>
      <c r="O3" s="19"/>
      <c r="P3" s="19"/>
      <c r="Q3" s="19"/>
      <c r="R3" s="19"/>
      <c r="S3" s="19"/>
    </row>
    <row r="4">
      <c r="A4" s="1" t="s">
        <v>50</v>
      </c>
      <c r="B4" s="2" t="s">
        <v>224</v>
      </c>
      <c r="D4" s="12"/>
      <c r="E4" s="12"/>
      <c r="F4" s="12"/>
      <c r="G4" s="12"/>
      <c r="H4" s="12"/>
      <c r="I4" s="12"/>
      <c r="K4" s="13"/>
      <c r="L4" s="21"/>
      <c r="M4" s="19"/>
      <c r="N4" s="19">
        <f>N3+M4</f>
        <v>0</v>
      </c>
      <c r="O4" s="27"/>
      <c r="P4" s="27"/>
      <c r="Q4" s="27"/>
      <c r="R4" s="19"/>
      <c r="S4" s="19"/>
    </row>
    <row r="5">
      <c r="A5" s="1" t="s">
        <v>66</v>
      </c>
      <c r="B5" s="2" t="s">
        <v>458</v>
      </c>
      <c r="D5" s="12"/>
      <c r="E5" s="12"/>
      <c r="F5" s="12"/>
      <c r="G5" s="12"/>
      <c r="H5" s="12"/>
      <c r="I5" s="12"/>
      <c r="K5" s="13"/>
      <c r="L5" s="21"/>
      <c r="M5" s="19"/>
      <c r="N5" s="19"/>
      <c r="O5" s="27"/>
      <c r="P5" s="27"/>
      <c r="Q5" s="27"/>
      <c r="R5" s="19"/>
      <c r="S5" s="19"/>
    </row>
    <row r="6">
      <c r="A6" s="1" t="s">
        <v>70</v>
      </c>
      <c r="B6" s="2" t="s">
        <v>459</v>
      </c>
      <c r="D6" s="12"/>
      <c r="E6" s="12"/>
      <c r="F6" s="12"/>
      <c r="G6" s="12"/>
      <c r="H6" s="12"/>
      <c r="I6" s="12"/>
      <c r="K6" s="13"/>
      <c r="L6" s="21"/>
      <c r="M6" s="19"/>
      <c r="N6" s="19"/>
      <c r="O6" s="27"/>
      <c r="P6" s="27"/>
      <c r="Q6" s="27"/>
      <c r="R6" s="19"/>
      <c r="S6" s="19"/>
    </row>
    <row r="7">
      <c r="K7" s="13"/>
      <c r="L7" s="21"/>
      <c r="M7" s="19"/>
      <c r="N7" s="19"/>
      <c r="O7" s="27"/>
      <c r="P7" s="27"/>
      <c r="Q7" s="27"/>
      <c r="R7" s="19"/>
      <c r="S7" s="19"/>
    </row>
    <row r="8">
      <c r="A8" s="6" t="s">
        <v>8</v>
      </c>
      <c r="B8" s="6" t="s">
        <v>84</v>
      </c>
      <c r="C8" s="6" t="s">
        <v>25</v>
      </c>
      <c r="D8" s="6" t="s">
        <v>86</v>
      </c>
      <c r="E8" s="6" t="s">
        <v>87</v>
      </c>
      <c r="G8" s="6" t="s">
        <v>8</v>
      </c>
      <c r="H8" s="6" t="s">
        <v>13</v>
      </c>
      <c r="I8" s="6" t="s">
        <v>88</v>
      </c>
      <c r="K8" s="13"/>
      <c r="L8" s="21"/>
      <c r="M8" s="19"/>
      <c r="N8" s="19"/>
      <c r="O8" s="27"/>
      <c r="P8" s="27"/>
      <c r="Q8" s="27"/>
      <c r="R8" s="19"/>
      <c r="S8" s="19"/>
    </row>
    <row r="9">
      <c r="A9" s="12"/>
      <c r="B9" s="12"/>
      <c r="C9" s="12"/>
      <c r="D9" s="12"/>
      <c r="E9" s="12"/>
      <c r="G9" s="12"/>
      <c r="H9" s="12"/>
      <c r="I9" s="12"/>
      <c r="K9" s="13"/>
      <c r="L9" s="21"/>
      <c r="M9" s="19"/>
      <c r="N9" s="19"/>
      <c r="O9" s="27"/>
      <c r="P9" s="27"/>
      <c r="Q9" s="27"/>
      <c r="R9" s="19"/>
      <c r="S9" s="19"/>
    </row>
    <row r="10">
      <c r="A10" s="12"/>
      <c r="B10" s="12"/>
      <c r="C10" s="12"/>
      <c r="D10" s="12"/>
      <c r="E10" s="12"/>
      <c r="G10" s="12"/>
      <c r="H10" s="12"/>
      <c r="I10" s="12"/>
      <c r="K10" s="13"/>
      <c r="L10" s="21"/>
      <c r="M10" s="19"/>
      <c r="N10" s="19"/>
      <c r="O10" s="27"/>
      <c r="P10" s="27"/>
      <c r="Q10" s="27"/>
      <c r="R10" s="19"/>
      <c r="S10" s="19"/>
    </row>
    <row r="11">
      <c r="A11" s="12"/>
      <c r="B11" s="12"/>
      <c r="C11" s="12"/>
      <c r="D11" s="12"/>
      <c r="E11" s="12"/>
      <c r="G11" s="12"/>
      <c r="H11" s="12"/>
      <c r="I11" s="12"/>
      <c r="K11" s="13"/>
      <c r="L11" s="21"/>
      <c r="M11" s="19"/>
      <c r="N11" s="19"/>
      <c r="O11" s="27"/>
      <c r="P11" s="27"/>
      <c r="Q11" s="27"/>
      <c r="R11" s="19"/>
      <c r="S11" s="19"/>
    </row>
    <row r="12">
      <c r="A12" s="12"/>
      <c r="B12" s="12"/>
      <c r="C12" s="12"/>
      <c r="D12" s="12"/>
      <c r="E12" s="12"/>
      <c r="G12" s="12"/>
      <c r="H12" s="12"/>
      <c r="I12" s="12"/>
      <c r="K12" s="13"/>
      <c r="L12" s="21"/>
      <c r="M12" s="19"/>
      <c r="N12" s="19"/>
      <c r="O12" s="27"/>
      <c r="P12" s="27"/>
      <c r="Q12" s="27"/>
      <c r="R12" s="19"/>
      <c r="S12" s="19"/>
    </row>
    <row r="13">
      <c r="A13" s="12"/>
      <c r="B13" s="12"/>
      <c r="C13" s="12"/>
      <c r="D13" s="12"/>
      <c r="E13" s="12"/>
      <c r="G13" s="12"/>
      <c r="H13" s="12"/>
      <c r="I13" s="12"/>
      <c r="K13" s="13"/>
      <c r="L13" s="21"/>
      <c r="M13" s="19"/>
      <c r="N13" s="19"/>
      <c r="O13" s="27"/>
      <c r="P13" s="27"/>
      <c r="Q13" s="27"/>
      <c r="R13" s="19"/>
      <c r="S13" s="19"/>
    </row>
    <row r="14">
      <c r="A14" s="12"/>
      <c r="B14" s="12"/>
      <c r="C14" s="12"/>
      <c r="D14" s="12"/>
      <c r="E14" s="12"/>
      <c r="G14" s="12"/>
      <c r="H14" s="12"/>
      <c r="I14" s="12"/>
      <c r="K14" s="13"/>
      <c r="L14" s="21"/>
      <c r="M14" s="19"/>
      <c r="N14" s="19"/>
      <c r="O14" s="27"/>
      <c r="P14" s="27"/>
      <c r="Q14" s="27"/>
      <c r="R14" s="19"/>
      <c r="S14" s="19"/>
    </row>
    <row r="15">
      <c r="A15" s="12"/>
      <c r="B15" s="12"/>
      <c r="C15" s="12"/>
      <c r="D15" s="12"/>
      <c r="E15" s="12"/>
      <c r="G15" s="12"/>
      <c r="H15" s="12"/>
      <c r="I15" s="12"/>
      <c r="K15" s="13"/>
      <c r="L15" s="21"/>
      <c r="M15" s="19"/>
      <c r="N15" s="19"/>
      <c r="O15" s="27"/>
      <c r="P15" s="27"/>
      <c r="Q15" s="27"/>
      <c r="R15" s="19"/>
      <c r="S15" s="19"/>
    </row>
    <row r="16">
      <c r="A16" s="12"/>
      <c r="B16" s="12"/>
      <c r="C16" s="12"/>
      <c r="D16" s="12"/>
      <c r="E16" s="12"/>
      <c r="G16" s="12"/>
      <c r="H16" s="12"/>
      <c r="I16" s="12"/>
      <c r="K16" s="13"/>
      <c r="L16" s="21"/>
      <c r="M16" s="19"/>
      <c r="N16" s="19"/>
      <c r="O16" s="27"/>
      <c r="P16" s="27"/>
      <c r="Q16" s="27"/>
      <c r="R16" s="19"/>
      <c r="S16" s="19"/>
    </row>
    <row r="17">
      <c r="A17" s="12"/>
      <c r="B17" s="12"/>
      <c r="C17" s="12"/>
      <c r="D17" s="12"/>
      <c r="E17" s="12"/>
      <c r="G17" s="12"/>
      <c r="H17" s="12"/>
      <c r="I17" s="12"/>
      <c r="K17" s="13"/>
      <c r="L17" s="21"/>
      <c r="M17" s="19"/>
      <c r="N17" s="19"/>
      <c r="O17" s="27"/>
      <c r="P17" s="27"/>
      <c r="Q17" s="27"/>
      <c r="R17" s="19"/>
      <c r="S17" s="19"/>
    </row>
    <row r="18">
      <c r="A18" s="12"/>
      <c r="B18" s="12"/>
      <c r="C18" s="12"/>
      <c r="D18" s="12"/>
      <c r="E18" s="12"/>
      <c r="G18" s="12"/>
      <c r="H18" s="12"/>
      <c r="I18" s="12"/>
      <c r="K18" s="13"/>
      <c r="L18" s="21"/>
      <c r="M18" s="19"/>
      <c r="N18" s="19"/>
      <c r="O18" s="27"/>
      <c r="P18" s="27"/>
      <c r="Q18" s="27"/>
      <c r="R18" s="19"/>
      <c r="S18" s="19"/>
    </row>
    <row r="19">
      <c r="A19" s="12"/>
      <c r="B19" s="12"/>
      <c r="C19" s="12"/>
      <c r="D19" s="12"/>
      <c r="E19" s="12"/>
      <c r="G19" s="12"/>
      <c r="H19" s="12"/>
      <c r="I19" s="12"/>
      <c r="K19" s="13"/>
      <c r="L19" s="21"/>
      <c r="M19" s="19"/>
      <c r="N19" s="19"/>
      <c r="O19" s="27"/>
      <c r="P19" s="27"/>
      <c r="Q19" s="27"/>
      <c r="R19" s="19"/>
      <c r="S19" s="19"/>
    </row>
    <row r="20">
      <c r="A20" s="12"/>
      <c r="B20" s="12"/>
      <c r="C20" s="12"/>
      <c r="D20" s="12"/>
      <c r="E20" s="12"/>
      <c r="G20" s="12"/>
      <c r="H20" s="12"/>
      <c r="I20" s="12"/>
      <c r="K20" s="13"/>
      <c r="L20" s="21"/>
      <c r="M20" s="19"/>
      <c r="N20" s="19"/>
      <c r="O20" s="27"/>
      <c r="P20" s="27"/>
      <c r="Q20" s="27"/>
      <c r="R20" s="19"/>
      <c r="S20" s="19"/>
    </row>
    <row r="21">
      <c r="A21" s="12"/>
      <c r="B21" s="12"/>
      <c r="C21" s="12"/>
      <c r="D21" s="12"/>
      <c r="E21" s="12"/>
      <c r="G21" s="12"/>
      <c r="H21" s="12"/>
      <c r="I21" s="12"/>
      <c r="K21" s="13"/>
      <c r="L21" s="21"/>
      <c r="M21" s="19"/>
      <c r="N21" s="19"/>
      <c r="O21" s="27"/>
      <c r="P21" s="27"/>
      <c r="Q21" s="27"/>
      <c r="R21" s="19"/>
      <c r="S21" s="19"/>
    </row>
    <row r="22">
      <c r="A22" s="12"/>
      <c r="B22" s="12"/>
      <c r="C22" s="12"/>
      <c r="D22" s="12"/>
      <c r="E22" s="12"/>
      <c r="G22" s="12"/>
      <c r="H22" s="12"/>
      <c r="I22" s="12"/>
      <c r="K22" s="13"/>
      <c r="L22" s="21"/>
      <c r="M22" s="19"/>
      <c r="N22" s="19"/>
      <c r="O22" s="27"/>
      <c r="P22" s="27"/>
      <c r="Q22" s="27"/>
      <c r="R22" s="19"/>
      <c r="S22" s="19"/>
    </row>
    <row r="23">
      <c r="A23" s="12"/>
      <c r="B23" s="12"/>
      <c r="C23" s="12"/>
      <c r="D23" s="12"/>
      <c r="E23" s="12"/>
      <c r="G23" s="12"/>
      <c r="H23" s="12"/>
      <c r="I23" s="12"/>
      <c r="K23" s="13"/>
      <c r="L23" s="21"/>
      <c r="M23" s="19"/>
      <c r="N23" s="19"/>
      <c r="O23" s="27"/>
      <c r="P23" s="27"/>
      <c r="Q23" s="27"/>
      <c r="R23" s="19"/>
      <c r="S23" s="19"/>
    </row>
    <row r="24">
      <c r="A24" s="12"/>
      <c r="B24" s="12"/>
      <c r="C24" s="12"/>
      <c r="D24" s="12"/>
      <c r="E24" s="12"/>
      <c r="G24" s="12"/>
      <c r="H24" s="12"/>
      <c r="I24" s="12"/>
      <c r="K24" s="13"/>
      <c r="L24" s="21"/>
      <c r="M24" s="19"/>
      <c r="N24" s="19"/>
      <c r="O24" s="27"/>
      <c r="P24" s="27"/>
      <c r="Q24" s="27"/>
      <c r="R24" s="19"/>
      <c r="S24" s="19"/>
    </row>
    <row r="25">
      <c r="A25" s="12"/>
      <c r="B25" s="12"/>
      <c r="C25" s="12"/>
      <c r="D25" s="12"/>
      <c r="E25" s="12"/>
      <c r="G25" s="12"/>
      <c r="H25" s="12"/>
      <c r="I25" s="12"/>
      <c r="K25" s="13"/>
      <c r="L25" s="21"/>
      <c r="M25" s="19"/>
      <c r="N25" s="19"/>
      <c r="O25" s="27"/>
      <c r="P25" s="27"/>
      <c r="Q25" s="27"/>
      <c r="R25" s="19"/>
      <c r="S25" s="19"/>
    </row>
    <row r="26">
      <c r="A26" s="12"/>
      <c r="B26" s="12"/>
      <c r="C26" s="12"/>
      <c r="D26" s="12"/>
      <c r="E26" s="12"/>
      <c r="G26" s="12"/>
      <c r="H26" s="12"/>
      <c r="I26" s="12"/>
      <c r="K26" s="13"/>
      <c r="L26" s="21"/>
      <c r="M26" s="19"/>
      <c r="N26" s="19"/>
      <c r="O26" s="27"/>
      <c r="P26" s="27"/>
      <c r="Q26" s="27"/>
      <c r="R26" s="19"/>
      <c r="S26" s="19"/>
    </row>
    <row r="27">
      <c r="A27" s="12"/>
      <c r="B27" s="12"/>
      <c r="C27" s="12"/>
      <c r="D27" s="12"/>
      <c r="E27" s="12"/>
      <c r="G27" s="12"/>
      <c r="H27" s="12"/>
      <c r="I27" s="12"/>
      <c r="K27" s="13"/>
      <c r="L27" s="21"/>
      <c r="M27" s="19"/>
      <c r="N27" s="19"/>
      <c r="O27" s="27"/>
      <c r="P27" s="27"/>
      <c r="Q27" s="27"/>
      <c r="R27" s="19"/>
      <c r="S27" s="19"/>
    </row>
    <row r="28">
      <c r="A28" s="12"/>
      <c r="B28" s="12"/>
      <c r="C28" s="12"/>
      <c r="D28" s="12"/>
      <c r="E28" s="12"/>
      <c r="G28" s="12"/>
      <c r="H28" s="12"/>
      <c r="I28" s="12"/>
      <c r="K28" s="13"/>
      <c r="L28" s="21"/>
      <c r="M28" s="19"/>
      <c r="N28" s="19"/>
      <c r="O28" s="19"/>
      <c r="P28" s="27"/>
      <c r="Q28" s="27"/>
      <c r="R28" s="19"/>
      <c r="S28" s="19"/>
    </row>
    <row r="29">
      <c r="K29" s="13"/>
      <c r="L29" s="21"/>
      <c r="M29" s="19"/>
      <c r="N29" s="19"/>
      <c r="O29" s="27"/>
      <c r="P29" s="27"/>
      <c r="Q29" s="27"/>
      <c r="R29" s="19"/>
      <c r="S29" s="19"/>
    </row>
    <row r="30">
      <c r="K30" s="13"/>
      <c r="L30" s="21"/>
      <c r="M30" s="19"/>
      <c r="N30" s="19"/>
      <c r="O30" s="27"/>
      <c r="P30" s="27"/>
      <c r="Q30" s="27"/>
      <c r="R30" s="19"/>
      <c r="S30" s="19"/>
    </row>
    <row r="31">
      <c r="K31" s="13"/>
      <c r="L31" s="21"/>
      <c r="M31" s="19"/>
      <c r="N31" s="19"/>
      <c r="O31" s="27"/>
      <c r="P31" s="27"/>
      <c r="Q31" s="27"/>
      <c r="R31" s="19"/>
      <c r="S31" s="19"/>
    </row>
    <row r="32">
      <c r="K32" s="13"/>
      <c r="L32" s="21"/>
      <c r="M32" s="19"/>
      <c r="N32" s="19"/>
      <c r="O32" s="27"/>
      <c r="P32" s="27"/>
      <c r="Q32" s="27"/>
      <c r="R32" s="19"/>
      <c r="S32" s="19"/>
    </row>
    <row r="33">
      <c r="K33" s="13"/>
      <c r="L33" s="21"/>
      <c r="M33" s="19"/>
      <c r="N33" s="19"/>
      <c r="O33" s="27"/>
      <c r="P33" s="27"/>
      <c r="Q33" s="27"/>
      <c r="R33" s="19"/>
      <c r="S33" s="19"/>
    </row>
    <row r="34">
      <c r="K34" s="13"/>
      <c r="L34" s="21"/>
      <c r="M34" s="19"/>
      <c r="N34" s="19"/>
      <c r="O34" s="27"/>
      <c r="P34" s="27"/>
      <c r="Q34" s="27"/>
      <c r="R34" s="19"/>
      <c r="S34" s="19"/>
    </row>
    <row r="35">
      <c r="K35" s="13"/>
      <c r="L35" s="21"/>
      <c r="M35" s="19"/>
      <c r="N35" s="19"/>
      <c r="O35" s="27"/>
      <c r="P35" s="27"/>
      <c r="Q35" s="27"/>
      <c r="R35" s="19"/>
      <c r="S35" s="19"/>
    </row>
    <row r="36">
      <c r="K36" s="13"/>
      <c r="L36" s="21"/>
      <c r="M36" s="19"/>
      <c r="N36" s="19"/>
      <c r="O36" s="27"/>
      <c r="P36" s="27"/>
      <c r="Q36" s="27"/>
      <c r="R36" s="19"/>
      <c r="S36" s="19"/>
    </row>
    <row r="37">
      <c r="K37" s="13"/>
      <c r="L37" s="21"/>
      <c r="M37" s="19"/>
      <c r="N37" s="19"/>
      <c r="O37" s="27"/>
      <c r="P37" s="27"/>
      <c r="Q37" s="27"/>
      <c r="R37" s="19"/>
      <c r="S37" s="19"/>
    </row>
    <row r="38">
      <c r="K38" s="13"/>
      <c r="L38" s="21"/>
      <c r="M38" s="19"/>
      <c r="N38" s="19"/>
      <c r="O38" s="27"/>
      <c r="P38" s="27"/>
      <c r="Q38" s="27"/>
      <c r="R38" s="19"/>
      <c r="S38" s="19"/>
    </row>
    <row r="39">
      <c r="K39" s="13"/>
      <c r="L39" s="21"/>
      <c r="M39" s="19"/>
      <c r="N39" s="19"/>
      <c r="O39" s="27"/>
      <c r="P39" s="27"/>
      <c r="Q39" s="27"/>
      <c r="R39" s="27"/>
      <c r="S39" s="27"/>
    </row>
    <row r="40">
      <c r="K40" s="13"/>
      <c r="L40" s="21"/>
      <c r="M40" s="19"/>
      <c r="N40" s="19"/>
      <c r="O40" s="27"/>
      <c r="P40" s="27"/>
      <c r="Q40" s="27"/>
      <c r="R40" s="27"/>
      <c r="S40" s="27"/>
    </row>
    <row r="41">
      <c r="K41" s="13"/>
      <c r="L41" s="21"/>
      <c r="M41" s="19"/>
      <c r="N41" s="19"/>
      <c r="O41" s="27"/>
      <c r="P41" s="27"/>
      <c r="Q41" s="27"/>
      <c r="R41" s="27"/>
      <c r="S41" s="27"/>
    </row>
    <row r="42">
      <c r="K42" s="13"/>
      <c r="L42" s="21"/>
      <c r="M42" s="19"/>
      <c r="N42" s="19"/>
      <c r="O42" s="27"/>
      <c r="P42" s="27"/>
      <c r="Q42" s="27"/>
      <c r="R42" s="27"/>
      <c r="S42" s="27"/>
    </row>
    <row r="43">
      <c r="K43" s="13"/>
      <c r="L43" s="21"/>
      <c r="M43" s="19"/>
      <c r="N43" s="19"/>
      <c r="O43" s="27"/>
      <c r="P43" s="27"/>
      <c r="Q43" s="27"/>
      <c r="R43" s="27"/>
      <c r="S43" s="27"/>
    </row>
    <row r="44">
      <c r="K44" s="13"/>
      <c r="L44" s="21"/>
      <c r="M44" s="19"/>
      <c r="N44" s="19"/>
      <c r="O44" s="27"/>
      <c r="P44" s="27"/>
      <c r="Q44" s="27"/>
      <c r="R44" s="27"/>
      <c r="S44" s="27"/>
    </row>
    <row r="45">
      <c r="K45" s="13"/>
      <c r="L45" s="21"/>
      <c r="M45" s="19"/>
      <c r="N45" s="19"/>
      <c r="O45" s="27"/>
      <c r="P45" s="27"/>
      <c r="Q45" s="27"/>
      <c r="R45" s="27"/>
      <c r="S45" s="27"/>
    </row>
    <row r="46">
      <c r="K46" s="13"/>
      <c r="L46" s="21"/>
      <c r="M46" s="19"/>
      <c r="N46" s="19"/>
      <c r="O46" s="27"/>
      <c r="P46" s="27"/>
      <c r="Q46" s="27"/>
      <c r="R46" s="27"/>
      <c r="S46" s="27"/>
    </row>
    <row r="47">
      <c r="K47" s="13"/>
      <c r="L47" s="21"/>
      <c r="M47" s="19"/>
      <c r="N47" s="19"/>
      <c r="O47" s="27"/>
      <c r="P47" s="27"/>
      <c r="Q47" s="27"/>
      <c r="R47" s="27"/>
      <c r="S47" s="27"/>
    </row>
    <row r="48">
      <c r="K48" s="13"/>
      <c r="L48" s="21"/>
      <c r="M48" s="19"/>
      <c r="N48" s="19"/>
      <c r="O48" s="27"/>
      <c r="P48" s="27"/>
      <c r="Q48" s="27"/>
      <c r="R48" s="27"/>
      <c r="S48" s="27"/>
    </row>
    <row r="49">
      <c r="K49" s="13"/>
      <c r="L49" s="21"/>
      <c r="M49" s="19"/>
      <c r="N49" s="19"/>
      <c r="O49" s="27"/>
      <c r="P49" s="27"/>
      <c r="Q49" s="27"/>
      <c r="R49" s="27"/>
      <c r="S49" s="27"/>
    </row>
    <row r="50">
      <c r="K50" s="13"/>
      <c r="L50" s="21"/>
      <c r="M50" s="19"/>
      <c r="N50" s="19"/>
      <c r="O50" s="27"/>
      <c r="P50" s="27"/>
      <c r="Q50" s="27"/>
      <c r="R50" s="27"/>
      <c r="S50" s="27"/>
    </row>
    <row r="51">
      <c r="K51" s="13"/>
      <c r="L51" s="21"/>
      <c r="M51" s="19"/>
      <c r="N51" s="19"/>
      <c r="O51" s="27"/>
      <c r="P51" s="27"/>
      <c r="Q51" s="27"/>
      <c r="R51" s="27"/>
      <c r="S51" s="27"/>
    </row>
    <row r="52">
      <c r="K52" s="13"/>
      <c r="L52" s="21"/>
      <c r="M52" s="19"/>
      <c r="N52" s="19"/>
      <c r="O52" s="27"/>
      <c r="P52" s="27"/>
      <c r="Q52" s="27"/>
      <c r="R52" s="27"/>
      <c r="S52" s="27"/>
    </row>
    <row r="53">
      <c r="K53" s="13"/>
      <c r="L53" s="21"/>
      <c r="M53" s="19"/>
      <c r="N53" s="19"/>
      <c r="O53" s="27"/>
      <c r="P53" s="27"/>
      <c r="Q53" s="27"/>
      <c r="R53" s="27"/>
      <c r="S53" s="27"/>
    </row>
    <row r="54">
      <c r="K54" s="13"/>
      <c r="L54" s="21"/>
      <c r="M54" s="19"/>
      <c r="N54" s="19"/>
      <c r="O54" s="27"/>
      <c r="P54" s="27"/>
      <c r="Q54" s="27"/>
      <c r="R54" s="27"/>
      <c r="S54" s="27"/>
    </row>
    <row r="55">
      <c r="K55" s="13"/>
      <c r="L55" s="21"/>
      <c r="M55" s="19"/>
      <c r="N55" s="19"/>
      <c r="O55" s="27"/>
      <c r="P55" s="27"/>
      <c r="Q55" s="27"/>
      <c r="R55" s="27"/>
      <c r="S55" s="27"/>
    </row>
    <row r="56">
      <c r="K56" s="13"/>
      <c r="L56" s="21"/>
      <c r="M56" s="19"/>
      <c r="N56" s="19"/>
      <c r="O56" s="27"/>
      <c r="P56" s="27"/>
      <c r="Q56" s="27"/>
      <c r="R56" s="27"/>
      <c r="S56" s="27"/>
    </row>
    <row r="57">
      <c r="K57" s="13"/>
      <c r="L57" s="21"/>
      <c r="M57" s="19"/>
      <c r="N57" s="19"/>
      <c r="O57" s="27"/>
      <c r="P57" s="27"/>
      <c r="Q57" s="27"/>
      <c r="R57" s="27"/>
      <c r="S57" s="27"/>
    </row>
    <row r="58">
      <c r="K58" s="13"/>
      <c r="L58" s="21"/>
      <c r="M58" s="19"/>
      <c r="N58" s="19"/>
      <c r="O58" s="27"/>
      <c r="P58" s="27"/>
      <c r="Q58" s="27"/>
      <c r="R58" s="27"/>
      <c r="S58" s="27"/>
    </row>
    <row r="59">
      <c r="K59" s="13"/>
      <c r="L59" s="21"/>
      <c r="M59" s="19"/>
      <c r="N59" s="19"/>
      <c r="O59" s="27"/>
      <c r="P59" s="27"/>
      <c r="Q59" s="27"/>
      <c r="R59" s="27"/>
      <c r="S59" s="27"/>
    </row>
    <row r="60">
      <c r="K60" s="13"/>
      <c r="L60" s="21"/>
      <c r="M60" s="19"/>
      <c r="N60" s="19"/>
      <c r="O60" s="27"/>
      <c r="P60" s="27"/>
      <c r="Q60" s="27"/>
      <c r="R60" s="27"/>
      <c r="S60" s="27"/>
    </row>
    <row r="61">
      <c r="K61" s="13"/>
      <c r="L61" s="21"/>
      <c r="M61" s="19"/>
      <c r="N61" s="19"/>
      <c r="O61" s="27"/>
      <c r="P61" s="27"/>
      <c r="Q61" s="27"/>
      <c r="R61" s="27"/>
      <c r="S61" s="27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63"/>
  </cols>
  <sheetData>
    <row r="1">
      <c r="A1" s="2" t="s">
        <v>1</v>
      </c>
      <c r="B1" s="1"/>
      <c r="D1" s="3" t="s">
        <v>2</v>
      </c>
      <c r="E1" s="3" t="s">
        <v>3</v>
      </c>
      <c r="F1" s="3" t="s">
        <v>5</v>
      </c>
      <c r="G1" s="3" t="s">
        <v>6</v>
      </c>
      <c r="H1" s="3" t="s">
        <v>7</v>
      </c>
      <c r="I1" s="6" t="s">
        <v>9</v>
      </c>
    </row>
    <row r="2">
      <c r="A2" s="1" t="s">
        <v>21</v>
      </c>
      <c r="B2" s="2" t="s">
        <v>233</v>
      </c>
      <c r="D2" s="12"/>
      <c r="E2" s="12"/>
      <c r="F2" s="12"/>
      <c r="G2" s="12"/>
      <c r="H2" s="12"/>
      <c r="I2" s="12"/>
    </row>
    <row r="3">
      <c r="A3" s="1" t="s">
        <v>40</v>
      </c>
      <c r="B3" s="2" t="s">
        <v>1065</v>
      </c>
      <c r="D3" s="12"/>
      <c r="E3" s="12"/>
      <c r="F3" s="12"/>
      <c r="G3" s="12"/>
      <c r="H3" s="12"/>
      <c r="I3" s="12"/>
    </row>
    <row r="4">
      <c r="A4" s="1" t="s">
        <v>50</v>
      </c>
      <c r="B4" s="2" t="s">
        <v>234</v>
      </c>
      <c r="D4" s="12"/>
      <c r="E4" s="12"/>
      <c r="F4" s="12"/>
      <c r="G4" s="12"/>
      <c r="H4" s="12"/>
      <c r="I4" s="12"/>
    </row>
    <row r="5">
      <c r="A5" s="1" t="s">
        <v>66</v>
      </c>
      <c r="B5" s="2" t="s">
        <v>467</v>
      </c>
      <c r="D5" s="12"/>
      <c r="E5" s="12"/>
      <c r="F5" s="12"/>
      <c r="G5" s="12"/>
      <c r="H5" s="12"/>
      <c r="I5" s="12"/>
    </row>
    <row r="6">
      <c r="A6" s="1" t="s">
        <v>70</v>
      </c>
      <c r="B6" s="2" t="s">
        <v>18</v>
      </c>
      <c r="D6" s="12"/>
      <c r="E6" s="12"/>
      <c r="F6" s="12"/>
      <c r="G6" s="12"/>
      <c r="H6" s="12"/>
      <c r="I6" s="12"/>
    </row>
    <row r="8">
      <c r="A8" s="6" t="s">
        <v>8</v>
      </c>
      <c r="B8" s="6" t="s">
        <v>84</v>
      </c>
      <c r="C8" s="6" t="s">
        <v>25</v>
      </c>
      <c r="D8" s="6" t="s">
        <v>86</v>
      </c>
      <c r="E8" s="6" t="s">
        <v>87</v>
      </c>
      <c r="G8" s="6" t="s">
        <v>8</v>
      </c>
      <c r="H8" s="6" t="s">
        <v>13</v>
      </c>
      <c r="I8" s="6" t="s">
        <v>88</v>
      </c>
    </row>
    <row r="9">
      <c r="A9" s="12"/>
      <c r="B9" s="12"/>
      <c r="C9" s="12"/>
      <c r="D9" s="12"/>
      <c r="E9" s="12"/>
      <c r="G9" s="12"/>
      <c r="H9" s="12"/>
      <c r="I9" s="12"/>
    </row>
    <row r="10">
      <c r="A10" s="12"/>
      <c r="B10" s="12"/>
      <c r="C10" s="12"/>
      <c r="D10" s="12"/>
      <c r="E10" s="12"/>
      <c r="G10" s="12"/>
      <c r="H10" s="12"/>
      <c r="I10" s="12"/>
    </row>
    <row r="11">
      <c r="A11" s="12"/>
      <c r="B11" s="12"/>
      <c r="C11" s="12"/>
      <c r="D11" s="12"/>
      <c r="E11" s="12"/>
      <c r="G11" s="12"/>
      <c r="H11" s="12"/>
      <c r="I11" s="12"/>
    </row>
    <row r="12">
      <c r="A12" s="12"/>
      <c r="B12" s="12"/>
      <c r="C12" s="12"/>
      <c r="D12" s="12"/>
      <c r="E12" s="12"/>
      <c r="G12" s="12"/>
      <c r="H12" s="12"/>
      <c r="I12" s="12"/>
    </row>
    <row r="13">
      <c r="A13" s="12"/>
      <c r="B13" s="12"/>
      <c r="C13" s="12"/>
      <c r="D13" s="12"/>
      <c r="E13" s="12"/>
      <c r="G13" s="12"/>
      <c r="H13" s="12"/>
      <c r="I13" s="12"/>
    </row>
    <row r="14">
      <c r="A14" s="12"/>
      <c r="B14" s="12"/>
      <c r="C14" s="12"/>
      <c r="D14" s="12"/>
      <c r="E14" s="12"/>
      <c r="G14" s="12"/>
      <c r="H14" s="12"/>
      <c r="I14" s="12"/>
    </row>
    <row r="15">
      <c r="A15" s="12"/>
      <c r="B15" s="12"/>
      <c r="C15" s="12"/>
      <c r="D15" s="12"/>
      <c r="E15" s="12"/>
      <c r="G15" s="12"/>
      <c r="H15" s="12"/>
      <c r="I15" s="12"/>
    </row>
    <row r="16">
      <c r="A16" s="12"/>
      <c r="B16" s="12"/>
      <c r="C16" s="12"/>
      <c r="D16" s="12"/>
      <c r="E16" s="12"/>
      <c r="G16" s="12"/>
      <c r="H16" s="12"/>
      <c r="I16" s="12"/>
    </row>
    <row r="17">
      <c r="A17" s="12"/>
      <c r="B17" s="12"/>
      <c r="C17" s="12"/>
      <c r="D17" s="12"/>
      <c r="E17" s="12"/>
      <c r="G17" s="12"/>
      <c r="H17" s="12"/>
      <c r="I17" s="12"/>
    </row>
    <row r="18">
      <c r="A18" s="12"/>
      <c r="B18" s="12"/>
      <c r="C18" s="12"/>
      <c r="D18" s="12"/>
      <c r="E18" s="12"/>
      <c r="G18" s="12"/>
      <c r="H18" s="12"/>
      <c r="I18" s="12"/>
    </row>
    <row r="19">
      <c r="A19" s="12"/>
      <c r="B19" s="12"/>
      <c r="C19" s="12"/>
      <c r="D19" s="12"/>
      <c r="E19" s="12"/>
      <c r="G19" s="12"/>
      <c r="H19" s="12"/>
      <c r="I19" s="12"/>
    </row>
    <row r="20">
      <c r="A20" s="12"/>
      <c r="B20" s="12"/>
      <c r="C20" s="12"/>
      <c r="D20" s="12"/>
      <c r="E20" s="12"/>
      <c r="G20" s="12"/>
      <c r="H20" s="12"/>
      <c r="I20" s="12"/>
    </row>
    <row r="21">
      <c r="A21" s="12"/>
      <c r="B21" s="12"/>
      <c r="C21" s="12"/>
      <c r="D21" s="12"/>
      <c r="E21" s="12"/>
      <c r="G21" s="12"/>
      <c r="H21" s="12"/>
      <c r="I21" s="12"/>
    </row>
    <row r="22">
      <c r="A22" s="12"/>
      <c r="B22" s="12"/>
      <c r="C22" s="12"/>
      <c r="D22" s="12"/>
      <c r="E22" s="12"/>
      <c r="G22" s="12"/>
      <c r="H22" s="12"/>
      <c r="I22" s="12"/>
    </row>
    <row r="23">
      <c r="A23" s="12"/>
      <c r="B23" s="12"/>
      <c r="C23" s="12"/>
      <c r="D23" s="12"/>
      <c r="E23" s="12"/>
      <c r="G23" s="12"/>
      <c r="H23" s="12"/>
      <c r="I23" s="12"/>
    </row>
    <row r="24">
      <c r="A24" s="12"/>
      <c r="B24" s="12"/>
      <c r="C24" s="12"/>
      <c r="D24" s="12"/>
      <c r="E24" s="12"/>
      <c r="G24" s="12"/>
      <c r="H24" s="12"/>
      <c r="I24" s="12"/>
    </row>
    <row r="25">
      <c r="A25" s="12"/>
      <c r="B25" s="12"/>
      <c r="C25" s="12"/>
      <c r="D25" s="12"/>
      <c r="E25" s="12"/>
      <c r="G25" s="12"/>
      <c r="H25" s="12"/>
      <c r="I25" s="12"/>
    </row>
    <row r="26">
      <c r="A26" s="12"/>
      <c r="B26" s="12"/>
      <c r="C26" s="12"/>
      <c r="D26" s="12"/>
      <c r="E26" s="12"/>
      <c r="G26" s="12"/>
      <c r="H26" s="12"/>
      <c r="I26" s="12"/>
    </row>
    <row r="27">
      <c r="A27" s="12"/>
      <c r="B27" s="12"/>
      <c r="C27" s="12"/>
      <c r="D27" s="12"/>
      <c r="E27" s="12"/>
      <c r="G27" s="12"/>
      <c r="H27" s="12"/>
      <c r="I27" s="12"/>
    </row>
    <row r="28">
      <c r="A28" s="12"/>
      <c r="B28" s="12"/>
      <c r="C28" s="12"/>
      <c r="D28" s="12"/>
      <c r="E28" s="12"/>
      <c r="G28" s="12"/>
      <c r="H28" s="12"/>
      <c r="I28" s="12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5"/>
  </cols>
  <sheetData>
    <row r="1">
      <c r="A1" s="2" t="s">
        <v>1</v>
      </c>
      <c r="B1" s="1"/>
      <c r="D1" s="3" t="s">
        <v>2</v>
      </c>
      <c r="E1" s="3" t="s">
        <v>3</v>
      </c>
      <c r="F1" s="3" t="s">
        <v>5</v>
      </c>
      <c r="G1" s="3" t="s">
        <v>6</v>
      </c>
      <c r="H1" s="3" t="s">
        <v>7</v>
      </c>
      <c r="I1" s="6" t="s">
        <v>9</v>
      </c>
    </row>
    <row r="2">
      <c r="A2" s="1" t="s">
        <v>21</v>
      </c>
      <c r="B2" s="2" t="s">
        <v>22</v>
      </c>
      <c r="D2" s="12"/>
      <c r="E2" s="12"/>
      <c r="F2" s="12"/>
      <c r="G2" s="12"/>
      <c r="H2" s="12"/>
      <c r="I2" s="12"/>
    </row>
    <row r="3">
      <c r="A3" s="1" t="s">
        <v>40</v>
      </c>
      <c r="B3" s="2" t="s">
        <v>102</v>
      </c>
      <c r="D3" s="12"/>
      <c r="E3" s="12"/>
      <c r="F3" s="12"/>
      <c r="G3" s="12"/>
      <c r="H3" s="12"/>
      <c r="I3" s="12"/>
    </row>
    <row r="4">
      <c r="A4" s="1" t="s">
        <v>50</v>
      </c>
      <c r="B4" s="2" t="s">
        <v>1069</v>
      </c>
      <c r="D4" s="12"/>
      <c r="E4" s="12"/>
      <c r="F4" s="12"/>
      <c r="G4" s="12"/>
      <c r="H4" s="12"/>
      <c r="I4" s="12"/>
    </row>
    <row r="5">
      <c r="A5" s="1" t="s">
        <v>66</v>
      </c>
      <c r="B5" s="2" t="s">
        <v>170</v>
      </c>
      <c r="D5" s="12"/>
      <c r="E5" s="12"/>
      <c r="F5" s="12"/>
      <c r="G5" s="12"/>
      <c r="H5" s="12"/>
      <c r="I5" s="12"/>
    </row>
    <row r="6">
      <c r="A6" s="1" t="s">
        <v>70</v>
      </c>
      <c r="B6" s="2" t="s">
        <v>895</v>
      </c>
      <c r="D6" s="12"/>
      <c r="E6" s="12"/>
      <c r="F6" s="12"/>
      <c r="G6" s="12"/>
      <c r="H6" s="12"/>
      <c r="I6" s="12"/>
    </row>
    <row r="8">
      <c r="A8" s="6" t="s">
        <v>8</v>
      </c>
      <c r="B8" s="6" t="s">
        <v>84</v>
      </c>
      <c r="C8" s="6" t="s">
        <v>25</v>
      </c>
      <c r="D8" s="6" t="s">
        <v>86</v>
      </c>
      <c r="E8" s="6" t="s">
        <v>87</v>
      </c>
      <c r="G8" s="6" t="s">
        <v>8</v>
      </c>
      <c r="H8" s="6" t="s">
        <v>13</v>
      </c>
      <c r="I8" s="6" t="s">
        <v>88</v>
      </c>
    </row>
    <row r="9">
      <c r="A9" s="12"/>
      <c r="B9" s="12"/>
      <c r="C9" s="12"/>
      <c r="D9" s="12"/>
      <c r="E9" s="12"/>
      <c r="G9" s="12"/>
      <c r="H9" s="12"/>
      <c r="I9" s="12"/>
    </row>
    <row r="10">
      <c r="A10" s="12"/>
      <c r="B10" s="12"/>
      <c r="C10" s="12"/>
      <c r="D10" s="12"/>
      <c r="E10" s="12"/>
      <c r="G10" s="12"/>
      <c r="H10" s="12"/>
      <c r="I10" s="12"/>
    </row>
    <row r="11">
      <c r="A11" s="12"/>
      <c r="B11" s="12"/>
      <c r="C11" s="12"/>
      <c r="D11" s="12"/>
      <c r="E11" s="12"/>
      <c r="G11" s="12"/>
      <c r="H11" s="12"/>
      <c r="I11" s="12"/>
    </row>
    <row r="12">
      <c r="A12" s="12"/>
      <c r="B12" s="12"/>
      <c r="C12" s="12"/>
      <c r="D12" s="12"/>
      <c r="E12" s="12"/>
      <c r="G12" s="12"/>
      <c r="H12" s="12"/>
      <c r="I12" s="12"/>
    </row>
    <row r="13">
      <c r="A13" s="12"/>
      <c r="B13" s="12"/>
      <c r="C13" s="12"/>
      <c r="D13" s="12"/>
      <c r="E13" s="12"/>
      <c r="G13" s="12"/>
      <c r="H13" s="12"/>
      <c r="I13" s="12"/>
    </row>
    <row r="14">
      <c r="A14" s="12"/>
      <c r="B14" s="12"/>
      <c r="C14" s="12"/>
      <c r="D14" s="12"/>
      <c r="E14" s="12"/>
      <c r="G14" s="12"/>
      <c r="H14" s="12"/>
      <c r="I14" s="12"/>
    </row>
    <row r="15">
      <c r="A15" s="12"/>
      <c r="B15" s="12"/>
      <c r="C15" s="12"/>
      <c r="D15" s="12"/>
      <c r="E15" s="12"/>
      <c r="G15" s="12"/>
      <c r="H15" s="12"/>
      <c r="I15" s="12"/>
    </row>
    <row r="16">
      <c r="A16" s="12"/>
      <c r="B16" s="12"/>
      <c r="C16" s="12"/>
      <c r="D16" s="12"/>
      <c r="E16" s="12"/>
      <c r="G16" s="12"/>
      <c r="H16" s="12"/>
      <c r="I16" s="12"/>
    </row>
    <row r="17">
      <c r="A17" s="12"/>
      <c r="B17" s="12"/>
      <c r="C17" s="12"/>
      <c r="D17" s="12"/>
      <c r="E17" s="12"/>
      <c r="G17" s="12"/>
      <c r="H17" s="12"/>
      <c r="I17" s="12"/>
    </row>
    <row r="18">
      <c r="A18" s="12"/>
      <c r="B18" s="12"/>
      <c r="C18" s="12"/>
      <c r="D18" s="12"/>
      <c r="E18" s="12"/>
      <c r="G18" s="12"/>
      <c r="H18" s="12"/>
      <c r="I18" s="12"/>
    </row>
    <row r="19">
      <c r="A19" s="12"/>
      <c r="B19" s="12"/>
      <c r="C19" s="12"/>
      <c r="D19" s="12"/>
      <c r="E19" s="12"/>
      <c r="G19" s="12"/>
      <c r="H19" s="12"/>
      <c r="I19" s="12"/>
    </row>
    <row r="20">
      <c r="A20" s="12"/>
      <c r="B20" s="12"/>
      <c r="C20" s="12"/>
      <c r="D20" s="12"/>
      <c r="E20" s="12"/>
      <c r="G20" s="12"/>
      <c r="H20" s="12"/>
      <c r="I20" s="12"/>
    </row>
    <row r="21">
      <c r="A21" s="12"/>
      <c r="B21" s="12"/>
      <c r="C21" s="12"/>
      <c r="D21" s="12"/>
      <c r="E21" s="12"/>
      <c r="G21" s="12"/>
      <c r="H21" s="12"/>
      <c r="I21" s="12"/>
    </row>
    <row r="22">
      <c r="A22" s="12"/>
      <c r="B22" s="12"/>
      <c r="C22" s="12"/>
      <c r="D22" s="12"/>
      <c r="E22" s="12"/>
      <c r="G22" s="12"/>
      <c r="H22" s="12"/>
      <c r="I22" s="12"/>
    </row>
    <row r="23">
      <c r="A23" s="12"/>
      <c r="B23" s="12"/>
      <c r="C23" s="12"/>
      <c r="D23" s="12"/>
      <c r="E23" s="12"/>
      <c r="G23" s="12"/>
      <c r="H23" s="12"/>
      <c r="I23" s="12"/>
    </row>
    <row r="24">
      <c r="A24" s="12"/>
      <c r="B24" s="12"/>
      <c r="C24" s="12"/>
      <c r="D24" s="12"/>
      <c r="E24" s="12"/>
      <c r="G24" s="12"/>
      <c r="H24" s="12"/>
      <c r="I24" s="12"/>
    </row>
    <row r="25">
      <c r="A25" s="12"/>
      <c r="B25" s="12"/>
      <c r="C25" s="12"/>
      <c r="D25" s="12"/>
      <c r="E25" s="12"/>
      <c r="G25" s="12"/>
      <c r="H25" s="12"/>
      <c r="I25" s="12"/>
    </row>
    <row r="26">
      <c r="A26" s="12"/>
      <c r="B26" s="12"/>
      <c r="C26" s="12"/>
      <c r="D26" s="12"/>
      <c r="E26" s="12"/>
      <c r="G26" s="12"/>
      <c r="H26" s="12"/>
      <c r="I26" s="12"/>
    </row>
    <row r="27">
      <c r="A27" s="12"/>
      <c r="B27" s="12"/>
      <c r="C27" s="12"/>
      <c r="D27" s="12"/>
      <c r="E27" s="12"/>
      <c r="G27" s="12"/>
      <c r="H27" s="12"/>
      <c r="I27" s="12"/>
    </row>
    <row r="28">
      <c r="A28" s="12"/>
      <c r="B28" s="12"/>
      <c r="C28" s="12"/>
      <c r="D28" s="12"/>
      <c r="E28" s="12"/>
      <c r="G28" s="12"/>
      <c r="H28" s="12"/>
      <c r="I28" s="12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88"/>
  </cols>
  <sheetData>
    <row r="1">
      <c r="A1" s="2" t="s">
        <v>1</v>
      </c>
      <c r="B1" s="1"/>
      <c r="D1" s="3" t="s">
        <v>2</v>
      </c>
      <c r="E1" s="3" t="s">
        <v>3</v>
      </c>
      <c r="F1" s="3" t="s">
        <v>5</v>
      </c>
      <c r="G1" s="3" t="s">
        <v>6</v>
      </c>
      <c r="H1" s="3" t="s">
        <v>7</v>
      </c>
      <c r="I1" s="6" t="s">
        <v>9</v>
      </c>
    </row>
    <row r="2">
      <c r="A2" s="1" t="s">
        <v>21</v>
      </c>
      <c r="B2" s="2" t="s">
        <v>22</v>
      </c>
      <c r="D2" s="12"/>
      <c r="E2" s="12"/>
      <c r="F2" s="12"/>
      <c r="G2" s="12"/>
      <c r="H2" s="12"/>
      <c r="I2" s="12"/>
    </row>
    <row r="3">
      <c r="A3" s="1" t="s">
        <v>40</v>
      </c>
      <c r="B3" s="2" t="s">
        <v>44</v>
      </c>
      <c r="D3" s="12"/>
      <c r="E3" s="12"/>
      <c r="F3" s="12"/>
      <c r="G3" s="12"/>
      <c r="H3" s="12"/>
      <c r="I3" s="12"/>
    </row>
    <row r="4">
      <c r="A4" s="1" t="s">
        <v>50</v>
      </c>
      <c r="B4" s="2" t="s">
        <v>244</v>
      </c>
      <c r="D4" s="12"/>
      <c r="E4" s="12"/>
      <c r="F4" s="12"/>
      <c r="G4" s="12"/>
      <c r="H4" s="12"/>
      <c r="I4" s="12"/>
    </row>
    <row r="5">
      <c r="A5" s="1" t="s">
        <v>66</v>
      </c>
      <c r="B5" s="2" t="s">
        <v>133</v>
      </c>
      <c r="D5" s="12"/>
      <c r="E5" s="12"/>
      <c r="F5" s="12"/>
      <c r="G5" s="12"/>
      <c r="H5" s="12"/>
      <c r="I5" s="12"/>
    </row>
    <row r="6">
      <c r="A6" s="1" t="s">
        <v>70</v>
      </c>
      <c r="B6" s="2" t="s">
        <v>459</v>
      </c>
      <c r="D6" s="12"/>
      <c r="E6" s="12"/>
      <c r="F6" s="12"/>
      <c r="G6" s="12"/>
      <c r="H6" s="12"/>
      <c r="I6" s="12"/>
    </row>
    <row r="8">
      <c r="A8" s="6" t="s">
        <v>8</v>
      </c>
      <c r="B8" s="6" t="s">
        <v>84</v>
      </c>
      <c r="C8" s="6" t="s">
        <v>25</v>
      </c>
      <c r="D8" s="6" t="s">
        <v>86</v>
      </c>
      <c r="E8" s="6" t="s">
        <v>87</v>
      </c>
      <c r="G8" s="6" t="s">
        <v>8</v>
      </c>
      <c r="H8" s="6" t="s">
        <v>13</v>
      </c>
      <c r="I8" s="6" t="s">
        <v>88</v>
      </c>
    </row>
    <row r="9">
      <c r="A9" s="12"/>
      <c r="B9" s="12"/>
      <c r="C9" s="12"/>
      <c r="D9" s="12"/>
      <c r="E9" s="12"/>
      <c r="G9" s="12"/>
      <c r="H9" s="12"/>
      <c r="I9" s="12"/>
    </row>
    <row r="10">
      <c r="A10" s="12"/>
      <c r="B10" s="12"/>
      <c r="C10" s="12"/>
      <c r="D10" s="12"/>
      <c r="E10" s="12"/>
      <c r="G10" s="12"/>
      <c r="H10" s="12"/>
      <c r="I10" s="12"/>
    </row>
    <row r="11">
      <c r="A11" s="12"/>
      <c r="B11" s="12"/>
      <c r="C11" s="12"/>
      <c r="D11" s="12"/>
      <c r="E11" s="12"/>
      <c r="G11" s="12"/>
      <c r="H11" s="12"/>
      <c r="I11" s="12"/>
    </row>
    <row r="12">
      <c r="A12" s="12"/>
      <c r="B12" s="12"/>
      <c r="C12" s="12"/>
      <c r="D12" s="12"/>
      <c r="E12" s="12"/>
      <c r="G12" s="12"/>
      <c r="H12" s="12"/>
      <c r="I12" s="12"/>
    </row>
    <row r="13">
      <c r="A13" s="12"/>
      <c r="B13" s="12"/>
      <c r="C13" s="12"/>
      <c r="D13" s="12"/>
      <c r="E13" s="12"/>
      <c r="G13" s="12"/>
      <c r="H13" s="12"/>
      <c r="I13" s="12"/>
    </row>
    <row r="14">
      <c r="A14" s="12"/>
      <c r="B14" s="12"/>
      <c r="C14" s="12"/>
      <c r="D14" s="12"/>
      <c r="E14" s="12"/>
      <c r="G14" s="12"/>
      <c r="H14" s="12"/>
      <c r="I14" s="12"/>
    </row>
    <row r="15">
      <c r="A15" s="12"/>
      <c r="B15" s="12"/>
      <c r="C15" s="12"/>
      <c r="D15" s="12"/>
      <c r="E15" s="12"/>
      <c r="G15" s="12"/>
      <c r="H15" s="12"/>
      <c r="I15" s="12"/>
    </row>
    <row r="16">
      <c r="A16" s="12"/>
      <c r="B16" s="12"/>
      <c r="C16" s="12"/>
      <c r="D16" s="12"/>
      <c r="E16" s="12"/>
      <c r="G16" s="12"/>
      <c r="H16" s="12"/>
      <c r="I16" s="12"/>
    </row>
    <row r="17">
      <c r="A17" s="12"/>
      <c r="B17" s="12"/>
      <c r="C17" s="12"/>
      <c r="D17" s="12"/>
      <c r="E17" s="12"/>
      <c r="G17" s="12"/>
      <c r="H17" s="12"/>
      <c r="I17" s="12"/>
    </row>
    <row r="18">
      <c r="A18" s="12"/>
      <c r="B18" s="12"/>
      <c r="C18" s="12"/>
      <c r="D18" s="12"/>
      <c r="E18" s="12"/>
      <c r="G18" s="12"/>
      <c r="H18" s="12"/>
      <c r="I18" s="12"/>
    </row>
    <row r="19">
      <c r="A19" s="12"/>
      <c r="B19" s="12"/>
      <c r="C19" s="12"/>
      <c r="D19" s="12"/>
      <c r="E19" s="12"/>
      <c r="G19" s="12"/>
      <c r="H19" s="12"/>
      <c r="I19" s="12"/>
    </row>
    <row r="20">
      <c r="A20" s="12"/>
      <c r="B20" s="12"/>
      <c r="C20" s="12"/>
      <c r="D20" s="12"/>
      <c r="E20" s="12"/>
      <c r="G20" s="12"/>
      <c r="H20" s="12"/>
      <c r="I20" s="12"/>
    </row>
    <row r="21">
      <c r="A21" s="12"/>
      <c r="B21" s="12"/>
      <c r="C21" s="12"/>
      <c r="D21" s="12"/>
      <c r="E21" s="12"/>
      <c r="G21" s="12"/>
      <c r="H21" s="12"/>
      <c r="I21" s="12"/>
    </row>
    <row r="22">
      <c r="A22" s="12"/>
      <c r="B22" s="12"/>
      <c r="C22" s="12"/>
      <c r="D22" s="12"/>
      <c r="E22" s="12"/>
      <c r="G22" s="12"/>
      <c r="H22" s="12"/>
      <c r="I22" s="12"/>
    </row>
    <row r="23">
      <c r="A23" s="12"/>
      <c r="B23" s="12"/>
      <c r="C23" s="12"/>
      <c r="D23" s="12"/>
      <c r="E23" s="12"/>
      <c r="G23" s="12"/>
      <c r="H23" s="12"/>
      <c r="I23" s="12"/>
    </row>
    <row r="24">
      <c r="A24" s="12"/>
      <c r="B24" s="12"/>
      <c r="C24" s="12"/>
      <c r="D24" s="12"/>
      <c r="E24" s="12"/>
      <c r="G24" s="12"/>
      <c r="H24" s="12"/>
      <c r="I24" s="12"/>
    </row>
    <row r="25">
      <c r="A25" s="12"/>
      <c r="B25" s="12"/>
      <c r="C25" s="12"/>
      <c r="D25" s="12"/>
      <c r="E25" s="12"/>
      <c r="G25" s="12"/>
      <c r="H25" s="12"/>
      <c r="I25" s="12"/>
    </row>
    <row r="26">
      <c r="A26" s="12"/>
      <c r="B26" s="12"/>
      <c r="C26" s="12"/>
      <c r="D26" s="12"/>
      <c r="E26" s="12"/>
      <c r="G26" s="12"/>
      <c r="H26" s="12"/>
      <c r="I26" s="12"/>
    </row>
    <row r="27">
      <c r="A27" s="12"/>
      <c r="B27" s="12"/>
      <c r="C27" s="12"/>
      <c r="D27" s="12"/>
      <c r="E27" s="12"/>
      <c r="G27" s="12"/>
      <c r="H27" s="12"/>
      <c r="I27" s="12"/>
    </row>
    <row r="28">
      <c r="A28" s="12"/>
      <c r="B28" s="12"/>
      <c r="C28" s="12"/>
      <c r="D28" s="12"/>
      <c r="E28" s="12"/>
      <c r="G28" s="12"/>
      <c r="H28" s="12"/>
      <c r="I28" s="12"/>
    </row>
  </sheetData>
  <drawing r:id="rId1"/>
</worksheet>
</file>